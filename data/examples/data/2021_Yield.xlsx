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oknopf/sciebo/02 Experimente/02 CKA/2021_BreedFACE/BigBaking/04 Processed Data/Published Data/"/>
    </mc:Choice>
  </mc:AlternateContent>
  <xr:revisionPtr revIDLastSave="0" documentId="13_ncr:1_{711B69CD-4660-A542-B61D-4033F16C298E}" xr6:coauthVersionLast="47" xr6:coauthVersionMax="47" xr10:uidLastSave="{00000000-0000-0000-0000-000000000000}"/>
  <bookViews>
    <workbookView xWindow="5000" yWindow="1560" windowWidth="41460" windowHeight="21100" xr2:uid="{00000000-000D-0000-FFFF-FFFF00000000}"/>
  </bookViews>
  <sheets>
    <sheet name="Sheet 1" sheetId="1" r:id="rId1"/>
  </sheets>
  <definedNames>
    <definedName name="_xlnm._FilterDatabase" localSheetId="0" hidden="1">'Sheet 1'!$A$1:$L$71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2" i="1" l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<sst xmlns="http://schemas.openxmlformats.org/spreadsheetml/2006/main" count="195" uniqueCount="85">
  <si>
    <t>Yield_after_cleaning_g</t>
  </si>
  <si>
    <t>Straw(gDM/plot)</t>
  </si>
  <si>
    <t>Control</t>
  </si>
  <si>
    <t>FW002003</t>
  </si>
  <si>
    <t>RGT Reform</t>
  </si>
  <si>
    <t>FW002004</t>
  </si>
  <si>
    <t>Apostel</t>
  </si>
  <si>
    <t>FW002005</t>
  </si>
  <si>
    <t>KWS Emerick</t>
  </si>
  <si>
    <t>FW003002</t>
  </si>
  <si>
    <t>Campesino</t>
  </si>
  <si>
    <t>FW003003</t>
  </si>
  <si>
    <t>Moschus</t>
  </si>
  <si>
    <t>FW003004</t>
  </si>
  <si>
    <t>Asory</t>
  </si>
  <si>
    <t>FW003005</t>
  </si>
  <si>
    <t>Hyvega</t>
  </si>
  <si>
    <t>FW003006</t>
  </si>
  <si>
    <t>Foxx</t>
  </si>
  <si>
    <t>FW004002</t>
  </si>
  <si>
    <t>FW004003</t>
  </si>
  <si>
    <t>Informer</t>
  </si>
  <si>
    <t>FW004004</t>
  </si>
  <si>
    <t>LG Initial</t>
  </si>
  <si>
    <t>FW004005</t>
  </si>
  <si>
    <t>FW004006</t>
  </si>
  <si>
    <t>FW005002</t>
  </si>
  <si>
    <t>FW005003</t>
  </si>
  <si>
    <t>FW005004</t>
  </si>
  <si>
    <t>FW005005</t>
  </si>
  <si>
    <t>FW005006</t>
  </si>
  <si>
    <t>FW006002</t>
  </si>
  <si>
    <t>FW006003</t>
  </si>
  <si>
    <t>FW006004</t>
  </si>
  <si>
    <t>FW006005</t>
  </si>
  <si>
    <t>FW006006</t>
  </si>
  <si>
    <t>FW007002</t>
  </si>
  <si>
    <t>FW007003</t>
  </si>
  <si>
    <t>FW007004</t>
  </si>
  <si>
    <t>FW007005</t>
  </si>
  <si>
    <t>FW007006</t>
  </si>
  <si>
    <t>FW008004</t>
  </si>
  <si>
    <t>FW008005</t>
  </si>
  <si>
    <t>elevated CO2</t>
  </si>
  <si>
    <t>FW011003</t>
  </si>
  <si>
    <t>FW011004</t>
  </si>
  <si>
    <t>FW011005</t>
  </si>
  <si>
    <t>FW012002</t>
  </si>
  <si>
    <t>FW012003</t>
  </si>
  <si>
    <t>FW012004</t>
  </si>
  <si>
    <t>FW012005</t>
  </si>
  <si>
    <t>FW012006</t>
  </si>
  <si>
    <t>FW013002</t>
  </si>
  <si>
    <t>FW013003</t>
  </si>
  <si>
    <t>FW013004</t>
  </si>
  <si>
    <t>FW013005</t>
  </si>
  <si>
    <t>FW013006</t>
  </si>
  <si>
    <t>FW014002</t>
  </si>
  <si>
    <t>FW014003</t>
  </si>
  <si>
    <t>FW014004</t>
  </si>
  <si>
    <t>FW014005</t>
  </si>
  <si>
    <t>FW014006</t>
  </si>
  <si>
    <t>FW015002</t>
  </si>
  <si>
    <t>FW015003</t>
  </si>
  <si>
    <t>FW015004</t>
  </si>
  <si>
    <t>FW015005</t>
  </si>
  <si>
    <t>FW015006</t>
  </si>
  <si>
    <t>FW016002</t>
  </si>
  <si>
    <t>FW016003</t>
  </si>
  <si>
    <t>FW016004</t>
  </si>
  <si>
    <t>FW016005</t>
  </si>
  <si>
    <t>FW016006</t>
  </si>
  <si>
    <t>FW017003</t>
  </si>
  <si>
    <t>FW017004</t>
  </si>
  <si>
    <t>FW017005</t>
  </si>
  <si>
    <t>Yield_per_m2</t>
  </si>
  <si>
    <t>Straw_per_m2</t>
  </si>
  <si>
    <t>Thousand_kernel_weight_g</t>
  </si>
  <si>
    <t>Total_biomass_g_plot</t>
  </si>
  <si>
    <t>Plants_Core_of_Plot_20201110</t>
  </si>
  <si>
    <t>Plants_Core_of_Plot_20201217</t>
  </si>
  <si>
    <t>plot_id</t>
  </si>
  <si>
    <t>treatment</t>
  </si>
  <si>
    <t>cultivar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</si>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</sst>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1"/>
  <sheetViews>
    <sheetView tabSelected="1" zoomScale="140" zoomScaleNormal="140" workbookViewId="0">
      <selection activeCell="C17" sqref="C17"/>
    </sheetView>
  </sheetViews>
  <sheetFormatPr baseColWidth="10" defaultRowHeight="15" x14ac:dyDescent="0.2"/>
  <cols>
    <col min="11" max="12" width="23" bestFit="1" customWidth="1"/>
  </cols>
  <sheetData>
    <row r="1" spans="1:12" x14ac:dyDescent="0.2">
      <c r="A1" t="s">
        <v>81</v>
      </c>
      <c r="B1" t="s">
        <v>82</v>
      </c>
      <c r="C1" t="s">
        <v>83</v>
      </c>
      <c r="D1" t="s">
        <v>84</v>
      </c>
      <c r="E1" t="s">
        <v>0</v>
      </c>
      <c r="F1" t="s">
        <v>75</v>
      </c>
      <c r="G1" t="s">
        <v>1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</row>
    <row r="2" spans="1:12" x14ac:dyDescent="0.2">
      <c r="A2" t="s">
        <v>3</v>
      </c>
      <c r="B2" t="s">
        <v>2</v>
      </c>
      <c r="C2" t="s">
        <v>4</v>
      </c>
      <c r="D2">
        <v>20210816</v>
      </c>
      <c r="E2">
        <v>3288.7</v>
      </c>
      <c r="F2">
        <f>E2/3</f>
        <v>1096.2333333333333</v>
      </c>
      <c r="G2">
        <v>2707.1375464684002</v>
      </c>
      <c r="H2">
        <f>G2/3</f>
        <v>902.37918215613342</v>
      </c>
      <c r="I2">
        <v>40.53</v>
      </c>
      <c r="J2">
        <v>5995.8375464684004</v>
      </c>
      <c r="K2" s="1">
        <v>858</v>
      </c>
      <c r="L2" s="1">
        <v>858</v>
      </c>
    </row>
    <row r="3" spans="1:12" x14ac:dyDescent="0.2">
      <c r="A3" t="s">
        <v>5</v>
      </c>
      <c r="B3" t="s">
        <v>2</v>
      </c>
      <c r="C3" t="s">
        <v>6</v>
      </c>
      <c r="D3">
        <v>20210818</v>
      </c>
      <c r="E3">
        <v>2979.6</v>
      </c>
      <c r="F3">
        <f t="shared" ref="F3:F4" si="0">E3/3</f>
        <v>993.19999999999993</v>
      </c>
      <c r="G3">
        <v>2095.19447287615</v>
      </c>
      <c r="H3">
        <f t="shared" ref="H3:H4" si="1">G3/3</f>
        <v>698.39815762538331</v>
      </c>
      <c r="I3">
        <v>44.82</v>
      </c>
      <c r="J3">
        <v>5074.7944728761504</v>
      </c>
      <c r="K3" s="1">
        <v>1011.0000000000001</v>
      </c>
      <c r="L3" s="1">
        <v>1013.9999999999999</v>
      </c>
    </row>
    <row r="4" spans="1:12" x14ac:dyDescent="0.2">
      <c r="A4" t="s">
        <v>7</v>
      </c>
      <c r="B4" t="s">
        <v>2</v>
      </c>
      <c r="C4" t="s">
        <v>8</v>
      </c>
      <c r="D4">
        <v>20210816</v>
      </c>
      <c r="E4">
        <v>3170.5</v>
      </c>
      <c r="F4">
        <f t="shared" si="0"/>
        <v>1056.8333333333333</v>
      </c>
      <c r="G4">
        <v>2311.1200644641399</v>
      </c>
      <c r="H4">
        <f t="shared" si="1"/>
        <v>770.37335482137996</v>
      </c>
      <c r="I4">
        <v>41.54</v>
      </c>
      <c r="J4">
        <v>5481.6200644641403</v>
      </c>
      <c r="K4" s="1">
        <v>987</v>
      </c>
      <c r="L4" s="1">
        <v>987</v>
      </c>
    </row>
    <row r="5" spans="1:12" x14ac:dyDescent="0.2">
      <c r="A5" t="s">
        <v>9</v>
      </c>
      <c r="B5" t="s">
        <v>2</v>
      </c>
      <c r="C5" t="s">
        <v>10</v>
      </c>
      <c r="D5">
        <v>20210816</v>
      </c>
      <c r="E5">
        <v>3486.6</v>
      </c>
      <c r="F5">
        <f t="shared" ref="F5:F9" si="2">E5/3</f>
        <v>1162.2</v>
      </c>
      <c r="G5">
        <v>2418.31665685697</v>
      </c>
      <c r="H5">
        <f t="shared" ref="H5:H9" si="3">G5/3</f>
        <v>806.1055522856567</v>
      </c>
      <c r="I5">
        <v>38.51</v>
      </c>
      <c r="J5">
        <v>5904.9166568569699</v>
      </c>
      <c r="K5" s="1">
        <v>801</v>
      </c>
      <c r="L5" s="1">
        <v>801</v>
      </c>
    </row>
    <row r="6" spans="1:12" x14ac:dyDescent="0.2">
      <c r="A6" t="s">
        <v>11</v>
      </c>
      <c r="B6" t="s">
        <v>2</v>
      </c>
      <c r="C6" t="s">
        <v>12</v>
      </c>
      <c r="D6">
        <v>20210818</v>
      </c>
      <c r="E6">
        <v>3028.5</v>
      </c>
      <c r="F6">
        <f t="shared" si="2"/>
        <v>1009.5</v>
      </c>
      <c r="G6">
        <v>2574.9060272196998</v>
      </c>
      <c r="H6">
        <f t="shared" si="3"/>
        <v>858.30200907323331</v>
      </c>
      <c r="I6">
        <v>42.13</v>
      </c>
      <c r="J6">
        <v>5603.4060272197003</v>
      </c>
      <c r="K6" s="1">
        <v>912</v>
      </c>
      <c r="L6" s="1">
        <v>912</v>
      </c>
    </row>
    <row r="7" spans="1:12" x14ac:dyDescent="0.2">
      <c r="A7" t="s">
        <v>13</v>
      </c>
      <c r="B7" t="s">
        <v>2</v>
      </c>
      <c r="C7" t="s">
        <v>14</v>
      </c>
      <c r="D7">
        <v>20210818</v>
      </c>
      <c r="E7">
        <v>3177.4</v>
      </c>
      <c r="F7">
        <f t="shared" si="2"/>
        <v>1059.1333333333334</v>
      </c>
      <c r="G7">
        <v>2101.4147431124302</v>
      </c>
      <c r="H7">
        <f t="shared" si="3"/>
        <v>700.47158103747677</v>
      </c>
      <c r="I7">
        <v>40.5</v>
      </c>
      <c r="J7">
        <v>5278.8147431124298</v>
      </c>
      <c r="K7" s="1">
        <v>942</v>
      </c>
      <c r="L7" s="1">
        <v>942</v>
      </c>
    </row>
    <row r="8" spans="1:12" x14ac:dyDescent="0.2">
      <c r="A8" t="s">
        <v>15</v>
      </c>
      <c r="B8" t="s">
        <v>2</v>
      </c>
      <c r="C8" t="s">
        <v>16</v>
      </c>
      <c r="D8">
        <v>20210816</v>
      </c>
      <c r="E8">
        <v>3646.4</v>
      </c>
      <c r="F8">
        <f t="shared" si="2"/>
        <v>1215.4666666666667</v>
      </c>
      <c r="G8">
        <v>2599.1672449687699</v>
      </c>
      <c r="H8">
        <f t="shared" si="3"/>
        <v>866.38908165625662</v>
      </c>
      <c r="I8">
        <v>39.979999999999997</v>
      </c>
      <c r="J8">
        <v>6245.56724496877</v>
      </c>
      <c r="K8" s="1">
        <v>846</v>
      </c>
      <c r="L8" s="1">
        <v>846</v>
      </c>
    </row>
    <row r="9" spans="1:12" x14ac:dyDescent="0.2">
      <c r="A9" t="s">
        <v>17</v>
      </c>
      <c r="B9" t="s">
        <v>2</v>
      </c>
      <c r="C9" t="s">
        <v>18</v>
      </c>
      <c r="D9">
        <v>20210816</v>
      </c>
      <c r="E9">
        <v>2988.8</v>
      </c>
      <c r="F9">
        <f t="shared" si="2"/>
        <v>996.26666666666677</v>
      </c>
      <c r="G9">
        <v>2318.7152777777801</v>
      </c>
      <c r="H9">
        <f t="shared" si="3"/>
        <v>772.90509259259341</v>
      </c>
      <c r="I9">
        <v>40.32</v>
      </c>
      <c r="J9">
        <v>5307.5152777777803</v>
      </c>
      <c r="K9" s="1">
        <v>1053</v>
      </c>
      <c r="L9" s="1">
        <v>1053</v>
      </c>
    </row>
    <row r="10" spans="1:12" x14ac:dyDescent="0.2">
      <c r="A10" t="s">
        <v>19</v>
      </c>
      <c r="B10" t="s">
        <v>2</v>
      </c>
      <c r="C10" t="s">
        <v>4</v>
      </c>
      <c r="D10">
        <v>20210816</v>
      </c>
      <c r="E10">
        <v>3125.4</v>
      </c>
      <c r="F10">
        <f t="shared" ref="F10:F14" si="4">E10/3</f>
        <v>1041.8</v>
      </c>
      <c r="G10">
        <v>2300.8522727272698</v>
      </c>
      <c r="H10">
        <f t="shared" ref="H10:H14" si="5">G10/3</f>
        <v>766.9507575757566</v>
      </c>
      <c r="I10">
        <v>39.99</v>
      </c>
      <c r="J10">
        <v>5426.2522727272699</v>
      </c>
      <c r="K10" s="1">
        <v>855</v>
      </c>
      <c r="L10" s="1">
        <v>855</v>
      </c>
    </row>
    <row r="11" spans="1:12" x14ac:dyDescent="0.2">
      <c r="A11" t="s">
        <v>20</v>
      </c>
      <c r="B11" t="s">
        <v>2</v>
      </c>
      <c r="C11" t="s">
        <v>21</v>
      </c>
      <c r="D11">
        <v>20210818</v>
      </c>
      <c r="E11">
        <v>3376.6</v>
      </c>
      <c r="F11">
        <f t="shared" si="4"/>
        <v>1125.5333333333333</v>
      </c>
      <c r="G11">
        <v>2366.4237203909202</v>
      </c>
      <c r="H11">
        <f t="shared" si="5"/>
        <v>788.80790679697338</v>
      </c>
      <c r="I11">
        <v>43.67</v>
      </c>
      <c r="J11">
        <v>5743.0237203909201</v>
      </c>
      <c r="K11" s="1">
        <v>879</v>
      </c>
      <c r="L11" s="1">
        <v>879</v>
      </c>
    </row>
    <row r="12" spans="1:12" x14ac:dyDescent="0.2">
      <c r="A12" t="s">
        <v>22</v>
      </c>
      <c r="B12" t="s">
        <v>2</v>
      </c>
      <c r="C12" t="s">
        <v>23</v>
      </c>
      <c r="D12">
        <v>20210818</v>
      </c>
      <c r="E12">
        <v>3049.6</v>
      </c>
      <c r="F12">
        <f t="shared" si="4"/>
        <v>1016.5333333333333</v>
      </c>
      <c r="G12">
        <v>2147.5917278185502</v>
      </c>
      <c r="H12">
        <f t="shared" si="5"/>
        <v>715.86390927285004</v>
      </c>
      <c r="I12">
        <v>37.39</v>
      </c>
      <c r="J12">
        <v>5197.1917278185501</v>
      </c>
      <c r="K12" s="1">
        <v>867</v>
      </c>
      <c r="L12" s="1">
        <v>867</v>
      </c>
    </row>
    <row r="13" spans="1:12" x14ac:dyDescent="0.2">
      <c r="A13" t="s">
        <v>24</v>
      </c>
      <c r="B13" t="s">
        <v>2</v>
      </c>
      <c r="C13" t="s">
        <v>16</v>
      </c>
      <c r="D13">
        <v>20210816</v>
      </c>
      <c r="E13">
        <v>3344.4</v>
      </c>
      <c r="F13">
        <f t="shared" si="4"/>
        <v>1114.8</v>
      </c>
      <c r="G13">
        <v>2468.1907250163299</v>
      </c>
      <c r="H13">
        <f t="shared" si="5"/>
        <v>822.73024167210997</v>
      </c>
      <c r="I13">
        <v>42.66</v>
      </c>
      <c r="J13">
        <v>5812.59072501633</v>
      </c>
      <c r="K13" s="1">
        <v>939</v>
      </c>
      <c r="L13" s="1">
        <v>939</v>
      </c>
    </row>
    <row r="14" spans="1:12" x14ac:dyDescent="0.2">
      <c r="A14" t="s">
        <v>25</v>
      </c>
      <c r="B14" t="s">
        <v>2</v>
      </c>
      <c r="C14" t="s">
        <v>6</v>
      </c>
      <c r="D14">
        <v>20210816</v>
      </c>
      <c r="E14">
        <v>2738.9</v>
      </c>
      <c r="F14">
        <f t="shared" si="4"/>
        <v>912.9666666666667</v>
      </c>
      <c r="G14">
        <v>2102.0270270270298</v>
      </c>
      <c r="H14">
        <f t="shared" si="5"/>
        <v>700.67567567567664</v>
      </c>
      <c r="I14">
        <v>43.33</v>
      </c>
      <c r="J14">
        <v>4840.9270270270299</v>
      </c>
      <c r="K14" s="1">
        <v>900</v>
      </c>
      <c r="L14" s="1">
        <v>900</v>
      </c>
    </row>
    <row r="15" spans="1:12" x14ac:dyDescent="0.2">
      <c r="A15" t="s">
        <v>26</v>
      </c>
      <c r="B15" t="s">
        <v>2</v>
      </c>
      <c r="C15" t="s">
        <v>8</v>
      </c>
      <c r="D15">
        <v>20210816</v>
      </c>
      <c r="E15">
        <v>3003</v>
      </c>
      <c r="F15">
        <f t="shared" ref="F15:F19" si="6">E15/3</f>
        <v>1001</v>
      </c>
      <c r="G15">
        <v>2196.5865011636902</v>
      </c>
      <c r="H15">
        <f t="shared" ref="H15:H19" si="7">G15/3</f>
        <v>732.19550038789669</v>
      </c>
      <c r="I15">
        <v>40.799999999999997</v>
      </c>
      <c r="J15">
        <v>5199.5865011636897</v>
      </c>
      <c r="K15" s="1">
        <v>924</v>
      </c>
      <c r="L15" s="1">
        <v>924</v>
      </c>
    </row>
    <row r="16" spans="1:12" x14ac:dyDescent="0.2">
      <c r="A16" t="s">
        <v>27</v>
      </c>
      <c r="B16" t="s">
        <v>2</v>
      </c>
      <c r="C16" t="s">
        <v>21</v>
      </c>
      <c r="D16">
        <v>20210818</v>
      </c>
      <c r="E16">
        <v>3287.1</v>
      </c>
      <c r="F16">
        <f t="shared" si="6"/>
        <v>1095.7</v>
      </c>
      <c r="G16">
        <v>2358.7858183584299</v>
      </c>
      <c r="H16">
        <f t="shared" si="7"/>
        <v>786.26193945281</v>
      </c>
      <c r="I16">
        <v>43.48</v>
      </c>
      <c r="J16">
        <v>5645.8858183584298</v>
      </c>
      <c r="K16" s="1">
        <v>861</v>
      </c>
      <c r="L16" s="1">
        <v>861</v>
      </c>
    </row>
    <row r="17" spans="1:12" x14ac:dyDescent="0.2">
      <c r="A17" t="s">
        <v>28</v>
      </c>
      <c r="B17" t="s">
        <v>2</v>
      </c>
      <c r="C17" t="s">
        <v>14</v>
      </c>
      <c r="D17">
        <v>20210816</v>
      </c>
      <c r="F17">
        <f t="shared" si="6"/>
        <v>0</v>
      </c>
      <c r="G17">
        <v>2363.5742743312499</v>
      </c>
      <c r="H17">
        <f t="shared" si="7"/>
        <v>787.85809144374991</v>
      </c>
      <c r="I17">
        <v>41.04</v>
      </c>
      <c r="K17" s="1">
        <v>918</v>
      </c>
      <c r="L17" s="1">
        <v>918</v>
      </c>
    </row>
    <row r="18" spans="1:12" x14ac:dyDescent="0.2">
      <c r="A18" t="s">
        <v>29</v>
      </c>
      <c r="B18" t="s">
        <v>2</v>
      </c>
      <c r="C18" t="s">
        <v>4</v>
      </c>
      <c r="D18">
        <v>20210818</v>
      </c>
      <c r="E18">
        <v>3218.7</v>
      </c>
      <c r="F18">
        <f t="shared" si="6"/>
        <v>1072.8999999999999</v>
      </c>
      <c r="G18">
        <v>2392.8125</v>
      </c>
      <c r="H18">
        <f t="shared" si="7"/>
        <v>797.60416666666663</v>
      </c>
      <c r="I18">
        <v>39.01</v>
      </c>
      <c r="J18">
        <v>5611.5124999999998</v>
      </c>
      <c r="K18" s="1">
        <v>951</v>
      </c>
      <c r="L18" s="1">
        <v>951</v>
      </c>
    </row>
    <row r="19" spans="1:12" x14ac:dyDescent="0.2">
      <c r="A19" t="s">
        <v>30</v>
      </c>
      <c r="B19" t="s">
        <v>2</v>
      </c>
      <c r="C19" t="s">
        <v>18</v>
      </c>
      <c r="D19">
        <v>20210816</v>
      </c>
      <c r="E19">
        <v>2939.4</v>
      </c>
      <c r="F19">
        <f t="shared" si="6"/>
        <v>979.80000000000007</v>
      </c>
      <c r="G19">
        <v>2472.8174603174598</v>
      </c>
      <c r="H19">
        <f t="shared" si="7"/>
        <v>824.27248677248656</v>
      </c>
      <c r="I19">
        <v>40.200000000000003</v>
      </c>
      <c r="J19">
        <v>5412.2174603174599</v>
      </c>
      <c r="K19" s="1">
        <v>843</v>
      </c>
      <c r="L19" s="1">
        <v>843</v>
      </c>
    </row>
    <row r="20" spans="1:12" x14ac:dyDescent="0.2">
      <c r="A20" t="s">
        <v>31</v>
      </c>
      <c r="B20" t="s">
        <v>2</v>
      </c>
      <c r="C20" t="s">
        <v>12</v>
      </c>
      <c r="D20">
        <v>20210816</v>
      </c>
      <c r="E20">
        <v>3162.4</v>
      </c>
      <c r="F20">
        <f t="shared" ref="F20:F24" si="8">E20/3</f>
        <v>1054.1333333333334</v>
      </c>
      <c r="G20">
        <v>2402.3661971831002</v>
      </c>
      <c r="H20">
        <f t="shared" ref="H20:H24" si="9">G20/3</f>
        <v>800.78873239436678</v>
      </c>
      <c r="I20">
        <v>43.23</v>
      </c>
      <c r="J20">
        <v>5564.7661971831003</v>
      </c>
      <c r="K20" s="1">
        <v>945</v>
      </c>
      <c r="L20" s="1">
        <v>945</v>
      </c>
    </row>
    <row r="21" spans="1:12" x14ac:dyDescent="0.2">
      <c r="A21" t="s">
        <v>32</v>
      </c>
      <c r="B21" t="s">
        <v>2</v>
      </c>
      <c r="C21" t="s">
        <v>23</v>
      </c>
      <c r="D21">
        <v>20210818</v>
      </c>
      <c r="E21">
        <v>3313.6</v>
      </c>
      <c r="F21">
        <f t="shared" si="8"/>
        <v>1104.5333333333333</v>
      </c>
      <c r="G21">
        <v>2516.6782006920398</v>
      </c>
      <c r="H21">
        <f t="shared" si="9"/>
        <v>838.89273356401327</v>
      </c>
      <c r="I21">
        <v>37.130000000000003</v>
      </c>
      <c r="J21">
        <v>5830.2782006920397</v>
      </c>
      <c r="K21" s="1">
        <v>828</v>
      </c>
      <c r="L21" s="1">
        <v>828</v>
      </c>
    </row>
    <row r="22" spans="1:12" x14ac:dyDescent="0.2">
      <c r="A22" t="s">
        <v>33</v>
      </c>
      <c r="B22" t="s">
        <v>2</v>
      </c>
      <c r="C22" t="s">
        <v>10</v>
      </c>
      <c r="D22">
        <v>20210816</v>
      </c>
      <c r="E22">
        <v>3005.9</v>
      </c>
      <c r="F22">
        <f t="shared" si="8"/>
        <v>1001.9666666666667</v>
      </c>
      <c r="G22">
        <v>2042.8766375545899</v>
      </c>
      <c r="H22">
        <f t="shared" si="9"/>
        <v>680.95887918486335</v>
      </c>
      <c r="I22">
        <v>38.07</v>
      </c>
      <c r="J22">
        <v>5048.7766375545898</v>
      </c>
      <c r="K22" s="1">
        <v>819</v>
      </c>
      <c r="L22" s="1">
        <v>837</v>
      </c>
    </row>
    <row r="23" spans="1:12" x14ac:dyDescent="0.2">
      <c r="A23" t="s">
        <v>34</v>
      </c>
      <c r="B23" t="s">
        <v>2</v>
      </c>
      <c r="C23" t="s">
        <v>18</v>
      </c>
      <c r="D23">
        <v>20210818</v>
      </c>
      <c r="E23">
        <v>3160</v>
      </c>
      <c r="F23">
        <f t="shared" si="8"/>
        <v>1053.3333333333333</v>
      </c>
      <c r="G23">
        <v>2362.9908256880699</v>
      </c>
      <c r="H23">
        <f t="shared" si="9"/>
        <v>787.66360856269</v>
      </c>
      <c r="I23">
        <v>41.79</v>
      </c>
      <c r="J23">
        <v>5522.9908256880699</v>
      </c>
      <c r="K23" s="1">
        <v>894</v>
      </c>
      <c r="L23" s="1">
        <v>894</v>
      </c>
    </row>
    <row r="24" spans="1:12" x14ac:dyDescent="0.2">
      <c r="A24" t="s">
        <v>35</v>
      </c>
      <c r="B24" t="s">
        <v>2</v>
      </c>
      <c r="C24" t="s">
        <v>10</v>
      </c>
      <c r="D24">
        <v>20210818</v>
      </c>
      <c r="E24">
        <v>2788.2</v>
      </c>
      <c r="F24">
        <f t="shared" si="8"/>
        <v>929.4</v>
      </c>
      <c r="G24">
        <v>2091.15095430885</v>
      </c>
      <c r="H24">
        <f t="shared" si="9"/>
        <v>697.05031810294997</v>
      </c>
      <c r="I24">
        <v>37.020000000000003</v>
      </c>
      <c r="J24">
        <v>4879.3509543088503</v>
      </c>
      <c r="K24" s="1">
        <v>837</v>
      </c>
      <c r="L24" s="1">
        <v>837</v>
      </c>
    </row>
    <row r="25" spans="1:12" x14ac:dyDescent="0.2">
      <c r="A25" t="s">
        <v>36</v>
      </c>
      <c r="B25" t="s">
        <v>2</v>
      </c>
      <c r="C25" t="s">
        <v>6</v>
      </c>
      <c r="D25">
        <v>20210816</v>
      </c>
      <c r="E25">
        <v>3113.4</v>
      </c>
      <c r="F25">
        <f t="shared" ref="F25:F29" si="10">E25/3</f>
        <v>1037.8</v>
      </c>
      <c r="G25">
        <v>2106.6799204771401</v>
      </c>
      <c r="H25">
        <f t="shared" ref="H25:H29" si="11">G25/3</f>
        <v>702.22664015904672</v>
      </c>
      <c r="I25">
        <v>45.78</v>
      </c>
      <c r="J25">
        <v>5220.0799204771401</v>
      </c>
      <c r="K25" s="1">
        <v>906</v>
      </c>
      <c r="L25" s="1">
        <v>906</v>
      </c>
    </row>
    <row r="26" spans="1:12" x14ac:dyDescent="0.2">
      <c r="A26" t="s">
        <v>37</v>
      </c>
      <c r="B26" t="s">
        <v>2</v>
      </c>
      <c r="C26" t="s">
        <v>21</v>
      </c>
      <c r="D26">
        <v>20210818</v>
      </c>
      <c r="E26">
        <v>3256.5</v>
      </c>
      <c r="F26">
        <f t="shared" si="10"/>
        <v>1085.5</v>
      </c>
      <c r="G26">
        <v>2611.5050167224099</v>
      </c>
      <c r="H26">
        <f t="shared" si="11"/>
        <v>870.50167224080326</v>
      </c>
      <c r="I26">
        <v>41.96</v>
      </c>
      <c r="J26">
        <v>5868.0050167224099</v>
      </c>
      <c r="K26" s="1">
        <v>840</v>
      </c>
      <c r="L26" s="1">
        <v>840</v>
      </c>
    </row>
    <row r="27" spans="1:12" x14ac:dyDescent="0.2">
      <c r="A27" t="s">
        <v>38</v>
      </c>
      <c r="B27" t="s">
        <v>2</v>
      </c>
      <c r="C27" t="s">
        <v>16</v>
      </c>
      <c r="D27">
        <v>20210816</v>
      </c>
      <c r="E27">
        <v>3416</v>
      </c>
      <c r="F27">
        <f t="shared" si="10"/>
        <v>1138.6666666666667</v>
      </c>
      <c r="G27">
        <v>2085.7818181818202</v>
      </c>
      <c r="H27">
        <f t="shared" si="11"/>
        <v>695.26060606060673</v>
      </c>
      <c r="I27">
        <v>42.47</v>
      </c>
      <c r="J27">
        <v>5501.7818181818202</v>
      </c>
      <c r="K27" s="1">
        <v>849</v>
      </c>
      <c r="L27" s="1">
        <v>849</v>
      </c>
    </row>
    <row r="28" spans="1:12" x14ac:dyDescent="0.2">
      <c r="A28" t="s">
        <v>39</v>
      </c>
      <c r="B28" t="s">
        <v>2</v>
      </c>
      <c r="C28" t="s">
        <v>23</v>
      </c>
      <c r="D28">
        <v>20210816</v>
      </c>
      <c r="E28">
        <v>3203.5</v>
      </c>
      <c r="F28">
        <f t="shared" si="10"/>
        <v>1067.8333333333333</v>
      </c>
      <c r="G28">
        <v>2337.54290171607</v>
      </c>
      <c r="H28">
        <f t="shared" si="11"/>
        <v>779.18096723868996</v>
      </c>
      <c r="I28">
        <v>38.17</v>
      </c>
      <c r="J28">
        <v>5541.0429017160704</v>
      </c>
      <c r="K28" s="1">
        <v>732</v>
      </c>
      <c r="L28" s="1">
        <v>732</v>
      </c>
    </row>
    <row r="29" spans="1:12" x14ac:dyDescent="0.2">
      <c r="A29" t="s">
        <v>40</v>
      </c>
      <c r="B29" t="s">
        <v>2</v>
      </c>
      <c r="C29" t="s">
        <v>8</v>
      </c>
      <c r="D29">
        <v>20210818</v>
      </c>
      <c r="E29">
        <v>2921</v>
      </c>
      <c r="F29">
        <f t="shared" si="10"/>
        <v>973.66666666666663</v>
      </c>
      <c r="G29">
        <v>2316.9499657299498</v>
      </c>
      <c r="H29">
        <f t="shared" si="11"/>
        <v>772.31665524331663</v>
      </c>
      <c r="I29">
        <v>39.03</v>
      </c>
      <c r="J29">
        <v>5237.9499657299502</v>
      </c>
      <c r="K29" s="1">
        <v>864</v>
      </c>
      <c r="L29" s="1">
        <v>864</v>
      </c>
    </row>
    <row r="30" spans="1:12" x14ac:dyDescent="0.2">
      <c r="A30" t="s">
        <v>41</v>
      </c>
      <c r="B30" t="s">
        <v>2</v>
      </c>
      <c r="C30" t="s">
        <v>14</v>
      </c>
      <c r="D30">
        <v>20210816</v>
      </c>
      <c r="E30">
        <v>3208.8</v>
      </c>
      <c r="F30">
        <f t="shared" ref="F30:F31" si="12">E30/3</f>
        <v>1069.6000000000001</v>
      </c>
      <c r="G30">
        <v>2298.69158878505</v>
      </c>
      <c r="H30">
        <f t="shared" ref="H30:H31" si="13">G30/3</f>
        <v>766.23052959501672</v>
      </c>
      <c r="I30">
        <v>40.93</v>
      </c>
      <c r="J30">
        <v>5507.4915887850502</v>
      </c>
      <c r="K30" s="1">
        <v>879</v>
      </c>
      <c r="L30" s="1">
        <v>924</v>
      </c>
    </row>
    <row r="31" spans="1:12" x14ac:dyDescent="0.2">
      <c r="A31" t="s">
        <v>42</v>
      </c>
      <c r="B31" t="s">
        <v>2</v>
      </c>
      <c r="C31" t="s">
        <v>12</v>
      </c>
      <c r="D31">
        <v>20210818</v>
      </c>
      <c r="E31">
        <v>3152.1</v>
      </c>
      <c r="F31">
        <f t="shared" si="12"/>
        <v>1050.7</v>
      </c>
      <c r="G31">
        <v>2374.0243902439001</v>
      </c>
      <c r="H31">
        <f t="shared" si="13"/>
        <v>791.34146341463338</v>
      </c>
      <c r="I31">
        <v>42.47</v>
      </c>
      <c r="J31">
        <v>5526.1243902439001</v>
      </c>
      <c r="K31" s="1">
        <v>876</v>
      </c>
      <c r="L31" s="1">
        <v>876</v>
      </c>
    </row>
    <row r="32" spans="1:12" x14ac:dyDescent="0.2">
      <c r="A32" t="s">
        <v>44</v>
      </c>
      <c r="B32" t="s">
        <v>43</v>
      </c>
      <c r="C32" t="s">
        <v>4</v>
      </c>
      <c r="D32">
        <v>20210816</v>
      </c>
      <c r="E32">
        <v>3691.8</v>
      </c>
      <c r="F32">
        <f t="shared" ref="F32:F34" si="14">E32/3</f>
        <v>1230.6000000000001</v>
      </c>
      <c r="G32">
        <v>2975.25464834276</v>
      </c>
      <c r="H32">
        <f t="shared" ref="H32:H34" si="15">G32/3</f>
        <v>991.75154944758663</v>
      </c>
      <c r="I32">
        <v>39.04</v>
      </c>
      <c r="J32">
        <v>6667.0546483427597</v>
      </c>
      <c r="K32" s="1">
        <v>921</v>
      </c>
      <c r="L32" s="1">
        <v>921</v>
      </c>
    </row>
    <row r="33" spans="1:12" x14ac:dyDescent="0.2">
      <c r="A33" t="s">
        <v>45</v>
      </c>
      <c r="B33" t="s">
        <v>43</v>
      </c>
      <c r="C33" t="s">
        <v>23</v>
      </c>
      <c r="D33">
        <v>20210816</v>
      </c>
      <c r="E33">
        <v>3332.1</v>
      </c>
      <c r="F33">
        <f t="shared" si="14"/>
        <v>1110.7</v>
      </c>
      <c r="G33">
        <v>2947.8260869565202</v>
      </c>
      <c r="H33">
        <f t="shared" si="15"/>
        <v>982.60869565217342</v>
      </c>
      <c r="I33">
        <v>33.85</v>
      </c>
      <c r="J33">
        <v>6279.9260869565196</v>
      </c>
      <c r="K33" s="1">
        <v>825</v>
      </c>
      <c r="L33" s="1">
        <v>837</v>
      </c>
    </row>
    <row r="34" spans="1:12" x14ac:dyDescent="0.2">
      <c r="A34" t="s">
        <v>46</v>
      </c>
      <c r="B34" t="s">
        <v>43</v>
      </c>
      <c r="C34" t="s">
        <v>6</v>
      </c>
      <c r="D34">
        <v>20210818</v>
      </c>
      <c r="E34">
        <v>2527</v>
      </c>
      <c r="F34">
        <f t="shared" si="14"/>
        <v>842.33333333333337</v>
      </c>
      <c r="G34">
        <v>2629.8489425981902</v>
      </c>
      <c r="H34">
        <f t="shared" si="15"/>
        <v>876.6163141993967</v>
      </c>
      <c r="I34">
        <v>42.1</v>
      </c>
      <c r="J34">
        <v>5156.8489425981898</v>
      </c>
      <c r="K34" s="1">
        <v>885</v>
      </c>
      <c r="L34" s="1">
        <v>885</v>
      </c>
    </row>
    <row r="35" spans="1:12" x14ac:dyDescent="0.2">
      <c r="A35" t="s">
        <v>47</v>
      </c>
      <c r="B35" t="s">
        <v>43</v>
      </c>
      <c r="C35" t="s">
        <v>8</v>
      </c>
      <c r="D35">
        <v>20210816</v>
      </c>
      <c r="E35">
        <v>2906.3</v>
      </c>
      <c r="F35">
        <f t="shared" ref="F35:F39" si="16">E35/3</f>
        <v>968.76666666666677</v>
      </c>
      <c r="G35">
        <v>2980.3520649966199</v>
      </c>
      <c r="H35">
        <f t="shared" ref="H35:H39" si="17">G35/3</f>
        <v>993.4506883322066</v>
      </c>
      <c r="I35">
        <v>41.42</v>
      </c>
      <c r="J35">
        <v>5886.6520649966196</v>
      </c>
      <c r="K35" s="1">
        <v>1026</v>
      </c>
      <c r="L35" s="1">
        <v>1026</v>
      </c>
    </row>
    <row r="36" spans="1:12" x14ac:dyDescent="0.2">
      <c r="A36" t="s">
        <v>48</v>
      </c>
      <c r="B36" t="s">
        <v>43</v>
      </c>
      <c r="C36" t="s">
        <v>14</v>
      </c>
      <c r="D36">
        <v>20210818</v>
      </c>
      <c r="E36">
        <v>3727.5</v>
      </c>
      <c r="F36">
        <f t="shared" si="16"/>
        <v>1242.5</v>
      </c>
      <c r="G36">
        <v>3082.16624685139</v>
      </c>
      <c r="H36">
        <f t="shared" si="17"/>
        <v>1027.3887489504634</v>
      </c>
      <c r="I36">
        <v>38.1</v>
      </c>
      <c r="J36">
        <v>6809.6662468513896</v>
      </c>
      <c r="K36" s="1">
        <v>933</v>
      </c>
      <c r="L36" s="1">
        <v>933</v>
      </c>
    </row>
    <row r="37" spans="1:12" x14ac:dyDescent="0.2">
      <c r="A37" t="s">
        <v>49</v>
      </c>
      <c r="B37" t="s">
        <v>43</v>
      </c>
      <c r="C37" t="s">
        <v>12</v>
      </c>
      <c r="D37">
        <v>20210816</v>
      </c>
      <c r="E37">
        <v>3206.3</v>
      </c>
      <c r="F37">
        <f t="shared" si="16"/>
        <v>1068.7666666666667</v>
      </c>
      <c r="G37">
        <v>2982.6546091015198</v>
      </c>
      <c r="H37">
        <f t="shared" si="17"/>
        <v>994.21820303383993</v>
      </c>
      <c r="I37">
        <v>40.43</v>
      </c>
      <c r="J37">
        <v>6188.95460910152</v>
      </c>
      <c r="K37" s="1">
        <v>909</v>
      </c>
      <c r="L37" s="1">
        <v>909</v>
      </c>
    </row>
    <row r="38" spans="1:12" x14ac:dyDescent="0.2">
      <c r="A38" t="s">
        <v>50</v>
      </c>
      <c r="B38" t="s">
        <v>43</v>
      </c>
      <c r="C38" t="s">
        <v>16</v>
      </c>
      <c r="D38">
        <v>20210816</v>
      </c>
      <c r="E38">
        <v>3333.3</v>
      </c>
      <c r="F38">
        <f t="shared" si="16"/>
        <v>1111.1000000000001</v>
      </c>
      <c r="G38">
        <v>2761.8611746758202</v>
      </c>
      <c r="H38">
        <f t="shared" si="17"/>
        <v>920.62039155860668</v>
      </c>
      <c r="I38">
        <v>39.11</v>
      </c>
      <c r="J38">
        <v>6095.1611746758199</v>
      </c>
      <c r="K38" s="1">
        <v>894</v>
      </c>
      <c r="L38" s="1">
        <v>912</v>
      </c>
    </row>
    <row r="39" spans="1:12" x14ac:dyDescent="0.2">
      <c r="A39" t="s">
        <v>51</v>
      </c>
      <c r="B39" t="s">
        <v>43</v>
      </c>
      <c r="C39" t="s">
        <v>21</v>
      </c>
      <c r="D39">
        <v>20210816</v>
      </c>
      <c r="E39">
        <v>3353.6</v>
      </c>
      <c r="F39">
        <f t="shared" si="16"/>
        <v>1117.8666666666666</v>
      </c>
      <c r="G39">
        <v>3021.3582166925898</v>
      </c>
      <c r="H39">
        <f t="shared" si="17"/>
        <v>1007.1194055641967</v>
      </c>
      <c r="I39">
        <v>41.05</v>
      </c>
      <c r="J39">
        <v>6374.9582166925902</v>
      </c>
      <c r="K39" s="1">
        <v>900</v>
      </c>
      <c r="L39" s="1">
        <v>900</v>
      </c>
    </row>
    <row r="40" spans="1:12" x14ac:dyDescent="0.2">
      <c r="A40" t="s">
        <v>52</v>
      </c>
      <c r="B40" t="s">
        <v>43</v>
      </c>
      <c r="C40" t="s">
        <v>10</v>
      </c>
      <c r="D40">
        <v>20210818</v>
      </c>
      <c r="E40">
        <v>3894.1</v>
      </c>
      <c r="F40">
        <f t="shared" ref="F40:F44" si="18">E40/3</f>
        <v>1298.0333333333333</v>
      </c>
      <c r="G40">
        <v>2761.5652173912999</v>
      </c>
      <c r="H40">
        <f t="shared" ref="H40:H44" si="19">G40/3</f>
        <v>920.52173913043328</v>
      </c>
      <c r="I40">
        <v>35.26</v>
      </c>
      <c r="J40">
        <v>6655.6652173912998</v>
      </c>
      <c r="K40" s="1">
        <v>822</v>
      </c>
      <c r="L40" s="1">
        <v>828</v>
      </c>
    </row>
    <row r="41" spans="1:12" x14ac:dyDescent="0.2">
      <c r="A41" t="s">
        <v>53</v>
      </c>
      <c r="B41" t="s">
        <v>43</v>
      </c>
      <c r="C41" t="s">
        <v>4</v>
      </c>
      <c r="D41">
        <v>20210816</v>
      </c>
      <c r="E41">
        <v>3654.3</v>
      </c>
      <c r="F41">
        <f t="shared" si="18"/>
        <v>1218.1000000000001</v>
      </c>
      <c r="G41">
        <v>3150</v>
      </c>
      <c r="H41">
        <f t="shared" si="19"/>
        <v>1050</v>
      </c>
      <c r="I41">
        <v>40.57</v>
      </c>
      <c r="J41">
        <v>6804.3</v>
      </c>
      <c r="K41" s="1">
        <v>1008</v>
      </c>
      <c r="L41" s="1">
        <v>1008</v>
      </c>
    </row>
    <row r="42" spans="1:12" x14ac:dyDescent="0.2">
      <c r="A42" t="s">
        <v>54</v>
      </c>
      <c r="B42" t="s">
        <v>43</v>
      </c>
      <c r="C42" t="s">
        <v>18</v>
      </c>
      <c r="D42">
        <v>20210816</v>
      </c>
      <c r="E42">
        <v>3188.8</v>
      </c>
      <c r="F42">
        <f t="shared" si="18"/>
        <v>1062.9333333333334</v>
      </c>
      <c r="G42">
        <v>2954.7887323943701</v>
      </c>
      <c r="H42">
        <f t="shared" si="19"/>
        <v>984.92957746478999</v>
      </c>
      <c r="I42">
        <v>36.97</v>
      </c>
      <c r="J42">
        <v>6143.5887323943698</v>
      </c>
      <c r="K42" s="1">
        <v>879</v>
      </c>
      <c r="L42" s="1">
        <v>879</v>
      </c>
    </row>
    <row r="43" spans="1:12" x14ac:dyDescent="0.2">
      <c r="A43" t="s">
        <v>55</v>
      </c>
      <c r="B43" t="s">
        <v>43</v>
      </c>
      <c r="C43" t="s">
        <v>8</v>
      </c>
      <c r="D43">
        <v>20210816</v>
      </c>
      <c r="E43">
        <v>3000.9</v>
      </c>
      <c r="F43">
        <f t="shared" si="18"/>
        <v>1000.3000000000001</v>
      </c>
      <c r="G43">
        <v>2360.73446327684</v>
      </c>
      <c r="H43">
        <f t="shared" si="19"/>
        <v>786.91148775894669</v>
      </c>
      <c r="I43">
        <v>39.32</v>
      </c>
      <c r="J43">
        <v>5361.6344632768396</v>
      </c>
      <c r="K43" s="1">
        <v>915</v>
      </c>
      <c r="L43" s="1">
        <v>918</v>
      </c>
    </row>
    <row r="44" spans="1:12" x14ac:dyDescent="0.2">
      <c r="A44" t="s">
        <v>56</v>
      </c>
      <c r="B44" t="s">
        <v>43</v>
      </c>
      <c r="C44" t="s">
        <v>23</v>
      </c>
      <c r="D44">
        <v>20210816</v>
      </c>
      <c r="E44">
        <v>3354.4</v>
      </c>
      <c r="F44">
        <f t="shared" si="18"/>
        <v>1118.1333333333334</v>
      </c>
      <c r="G44">
        <v>2312.29876722262</v>
      </c>
      <c r="H44">
        <f t="shared" si="19"/>
        <v>770.76625574087336</v>
      </c>
      <c r="I44">
        <v>35.75</v>
      </c>
      <c r="J44">
        <v>5666.6987672226296</v>
      </c>
      <c r="K44" s="1">
        <v>888</v>
      </c>
      <c r="L44" s="1">
        <v>888</v>
      </c>
    </row>
    <row r="45" spans="1:12" x14ac:dyDescent="0.2">
      <c r="A45" t="s">
        <v>57</v>
      </c>
      <c r="B45" t="s">
        <v>43</v>
      </c>
      <c r="C45" t="s">
        <v>10</v>
      </c>
      <c r="D45">
        <v>20210818</v>
      </c>
      <c r="E45">
        <v>3758.3</v>
      </c>
      <c r="F45">
        <f t="shared" ref="F45:F49" si="20">E45/3</f>
        <v>1252.7666666666667</v>
      </c>
      <c r="G45">
        <v>2317.8114086146702</v>
      </c>
      <c r="H45">
        <f t="shared" ref="H45:H49" si="21">G45/3</f>
        <v>772.6038028715567</v>
      </c>
      <c r="I45">
        <v>34.44</v>
      </c>
      <c r="J45">
        <v>6076.1114086146699</v>
      </c>
      <c r="K45" s="1">
        <v>936</v>
      </c>
      <c r="L45" s="1">
        <v>936</v>
      </c>
    </row>
    <row r="46" spans="1:12" x14ac:dyDescent="0.2">
      <c r="A46" t="s">
        <v>58</v>
      </c>
      <c r="B46" t="s">
        <v>43</v>
      </c>
      <c r="C46" t="s">
        <v>14</v>
      </c>
      <c r="D46">
        <v>20210816</v>
      </c>
      <c r="E46">
        <v>3424.5</v>
      </c>
      <c r="F46">
        <f t="shared" si="20"/>
        <v>1141.5</v>
      </c>
      <c r="G46">
        <v>2820.3345070422502</v>
      </c>
      <c r="H46">
        <f t="shared" si="21"/>
        <v>940.11150234741672</v>
      </c>
      <c r="I46">
        <v>36.729999999999997</v>
      </c>
      <c r="J46">
        <v>6244.8345070422502</v>
      </c>
      <c r="K46" s="1">
        <v>975</v>
      </c>
      <c r="L46" s="1">
        <v>975</v>
      </c>
    </row>
    <row r="47" spans="1:12" x14ac:dyDescent="0.2">
      <c r="A47" t="s">
        <v>59</v>
      </c>
      <c r="B47" t="s">
        <v>43</v>
      </c>
      <c r="C47" t="s">
        <v>18</v>
      </c>
      <c r="D47">
        <v>20210816</v>
      </c>
      <c r="E47">
        <v>2701.3</v>
      </c>
      <c r="F47">
        <f t="shared" si="20"/>
        <v>900.43333333333339</v>
      </c>
      <c r="G47">
        <v>2388.9570552147202</v>
      </c>
      <c r="H47">
        <f t="shared" si="21"/>
        <v>796.31901840490673</v>
      </c>
      <c r="I47">
        <v>36.78</v>
      </c>
      <c r="J47">
        <v>5090.2570552147199</v>
      </c>
      <c r="K47" s="1">
        <v>900</v>
      </c>
      <c r="L47" s="1">
        <v>906</v>
      </c>
    </row>
    <row r="48" spans="1:12" x14ac:dyDescent="0.2">
      <c r="A48" t="s">
        <v>60</v>
      </c>
      <c r="B48" t="s">
        <v>43</v>
      </c>
      <c r="C48" t="s">
        <v>12</v>
      </c>
      <c r="D48">
        <v>20210816</v>
      </c>
      <c r="E48">
        <v>3394.1</v>
      </c>
      <c r="F48">
        <f t="shared" si="20"/>
        <v>1131.3666666666666</v>
      </c>
      <c r="G48">
        <v>1836.2082262210799</v>
      </c>
      <c r="H48">
        <f t="shared" si="21"/>
        <v>612.06940874036002</v>
      </c>
      <c r="I48">
        <v>41.67</v>
      </c>
      <c r="J48">
        <v>5230.3082262210801</v>
      </c>
      <c r="K48" s="1">
        <v>930</v>
      </c>
      <c r="L48" s="1">
        <v>930</v>
      </c>
    </row>
    <row r="49" spans="1:12" ht="16" customHeight="1" x14ac:dyDescent="0.2">
      <c r="A49" t="s">
        <v>61</v>
      </c>
      <c r="B49" t="s">
        <v>43</v>
      </c>
      <c r="C49" t="s">
        <v>4</v>
      </c>
      <c r="D49">
        <v>20210816</v>
      </c>
      <c r="E49">
        <v>3396.5</v>
      </c>
      <c r="F49">
        <f t="shared" si="20"/>
        <v>1132.1666666666667</v>
      </c>
      <c r="G49">
        <v>2823.2826747720401</v>
      </c>
      <c r="H49">
        <f t="shared" si="21"/>
        <v>941.09422492401336</v>
      </c>
      <c r="I49">
        <v>41.54</v>
      </c>
      <c r="J49">
        <v>6219.7826747720401</v>
      </c>
      <c r="K49" s="1">
        <v>903</v>
      </c>
      <c r="L49" s="1">
        <v>903</v>
      </c>
    </row>
    <row r="50" spans="1:12" x14ac:dyDescent="0.2">
      <c r="A50" t="s">
        <v>62</v>
      </c>
      <c r="B50" t="s">
        <v>43</v>
      </c>
      <c r="C50" t="s">
        <v>6</v>
      </c>
      <c r="D50">
        <v>20210816</v>
      </c>
      <c r="E50">
        <v>3544.9</v>
      </c>
      <c r="F50">
        <f t="shared" ref="F50:F54" si="22">E50/3</f>
        <v>1181.6333333333334</v>
      </c>
      <c r="G50">
        <v>3099.61722488038</v>
      </c>
      <c r="H50">
        <f t="shared" ref="H50:H54" si="23">G50/3</f>
        <v>1033.2057416267933</v>
      </c>
      <c r="I50">
        <v>38.619999999999997</v>
      </c>
      <c r="J50">
        <v>6644.5172248803801</v>
      </c>
      <c r="K50" s="1">
        <v>840</v>
      </c>
      <c r="L50" s="1">
        <v>840</v>
      </c>
    </row>
    <row r="51" spans="1:12" x14ac:dyDescent="0.2">
      <c r="A51" t="s">
        <v>63</v>
      </c>
      <c r="B51" t="s">
        <v>43</v>
      </c>
      <c r="C51" t="s">
        <v>21</v>
      </c>
      <c r="D51">
        <v>20210816</v>
      </c>
      <c r="E51">
        <v>3482.6</v>
      </c>
      <c r="F51">
        <f t="shared" si="22"/>
        <v>1160.8666666666666</v>
      </c>
      <c r="G51">
        <v>2998.3106796116499</v>
      </c>
      <c r="H51">
        <f t="shared" si="23"/>
        <v>999.4368932038833</v>
      </c>
      <c r="I51">
        <v>40.840000000000003</v>
      </c>
      <c r="J51">
        <v>6480.9106796116503</v>
      </c>
      <c r="K51" s="1">
        <v>900</v>
      </c>
      <c r="L51" s="1">
        <v>900</v>
      </c>
    </row>
    <row r="52" spans="1:12" x14ac:dyDescent="0.2">
      <c r="A52" t="s">
        <v>64</v>
      </c>
      <c r="B52" t="s">
        <v>43</v>
      </c>
      <c r="C52" t="s">
        <v>16</v>
      </c>
      <c r="D52">
        <v>20210816</v>
      </c>
      <c r="E52">
        <v>3423.3</v>
      </c>
      <c r="F52">
        <f t="shared" si="22"/>
        <v>1141.1000000000001</v>
      </c>
      <c r="G52">
        <v>2866.95652173913</v>
      </c>
      <c r="H52">
        <f t="shared" si="23"/>
        <v>955.65217391304338</v>
      </c>
      <c r="I52">
        <v>40.520000000000003</v>
      </c>
      <c r="J52">
        <v>6290.2565217391302</v>
      </c>
      <c r="K52" s="1">
        <v>915</v>
      </c>
      <c r="L52" s="1">
        <v>915</v>
      </c>
    </row>
    <row r="53" spans="1:12" x14ac:dyDescent="0.2">
      <c r="A53" t="s">
        <v>65</v>
      </c>
      <c r="B53" t="s">
        <v>43</v>
      </c>
      <c r="C53" t="s">
        <v>10</v>
      </c>
      <c r="D53">
        <v>20210816</v>
      </c>
      <c r="E53">
        <v>3554.1</v>
      </c>
      <c r="F53">
        <f t="shared" si="22"/>
        <v>1184.7</v>
      </c>
      <c r="G53">
        <v>2706.3025830258298</v>
      </c>
      <c r="H53">
        <f t="shared" si="23"/>
        <v>902.10086100860997</v>
      </c>
      <c r="I53">
        <v>36.49</v>
      </c>
      <c r="J53">
        <v>6260.4025830258297</v>
      </c>
      <c r="K53" s="1">
        <v>867</v>
      </c>
      <c r="L53" s="1">
        <v>867</v>
      </c>
    </row>
    <row r="54" spans="1:12" x14ac:dyDescent="0.2">
      <c r="A54" t="s">
        <v>66</v>
      </c>
      <c r="B54" t="s">
        <v>43</v>
      </c>
      <c r="C54" t="s">
        <v>12</v>
      </c>
      <c r="D54">
        <v>20210818</v>
      </c>
      <c r="F54">
        <f t="shared" si="22"/>
        <v>0</v>
      </c>
      <c r="G54">
        <v>941.35135135135101</v>
      </c>
      <c r="H54">
        <f t="shared" si="23"/>
        <v>313.78378378378369</v>
      </c>
      <c r="I54">
        <v>41.65</v>
      </c>
      <c r="K54" s="1">
        <v>900</v>
      </c>
      <c r="L54" s="1">
        <v>900</v>
      </c>
    </row>
    <row r="55" spans="1:12" x14ac:dyDescent="0.2">
      <c r="A55" t="s">
        <v>67</v>
      </c>
      <c r="B55" t="s">
        <v>43</v>
      </c>
      <c r="C55" t="s">
        <v>16</v>
      </c>
      <c r="D55">
        <v>20210816</v>
      </c>
      <c r="E55">
        <v>3395</v>
      </c>
      <c r="F55">
        <f t="shared" ref="F55:F59" si="24">E55/3</f>
        <v>1131.6666666666667</v>
      </c>
      <c r="G55">
        <v>3201.22549019608</v>
      </c>
      <c r="H55">
        <f t="shared" ref="H55:H59" si="25">G55/3</f>
        <v>1067.0751633986933</v>
      </c>
      <c r="I55">
        <v>35.409999999999997</v>
      </c>
      <c r="J55">
        <v>6596.2254901960796</v>
      </c>
      <c r="K55" s="1">
        <v>819</v>
      </c>
      <c r="L55" s="1">
        <v>819</v>
      </c>
    </row>
    <row r="56" spans="1:12" x14ac:dyDescent="0.2">
      <c r="A56" t="s">
        <v>68</v>
      </c>
      <c r="B56" t="s">
        <v>43</v>
      </c>
      <c r="C56" t="s">
        <v>4</v>
      </c>
      <c r="D56">
        <v>20210818</v>
      </c>
      <c r="E56">
        <v>3571.7</v>
      </c>
      <c r="F56">
        <f t="shared" si="24"/>
        <v>1190.5666666666666</v>
      </c>
      <c r="G56">
        <v>2974.9473684210502</v>
      </c>
      <c r="H56">
        <f t="shared" si="25"/>
        <v>991.64912280701674</v>
      </c>
      <c r="I56">
        <v>37.18</v>
      </c>
      <c r="J56">
        <v>6546.6473684210496</v>
      </c>
      <c r="K56" s="1">
        <v>876</v>
      </c>
      <c r="L56" s="1">
        <v>876</v>
      </c>
    </row>
    <row r="57" spans="1:12" x14ac:dyDescent="0.2">
      <c r="A57" t="s">
        <v>69</v>
      </c>
      <c r="B57" t="s">
        <v>43</v>
      </c>
      <c r="C57" t="s">
        <v>8</v>
      </c>
      <c r="D57">
        <v>20210816</v>
      </c>
      <c r="E57">
        <v>3208.7</v>
      </c>
      <c r="F57">
        <f t="shared" si="24"/>
        <v>1069.5666666666666</v>
      </c>
      <c r="G57">
        <v>2593.24624428478</v>
      </c>
      <c r="H57">
        <f t="shared" si="25"/>
        <v>864.4154147615933</v>
      </c>
      <c r="I57">
        <v>41.45</v>
      </c>
      <c r="J57">
        <v>5801.9462442847798</v>
      </c>
      <c r="K57" s="1">
        <v>906</v>
      </c>
      <c r="L57" s="1">
        <v>906</v>
      </c>
    </row>
    <row r="58" spans="1:12" x14ac:dyDescent="0.2">
      <c r="A58" t="s">
        <v>70</v>
      </c>
      <c r="B58" t="s">
        <v>43</v>
      </c>
      <c r="C58" t="s">
        <v>6</v>
      </c>
      <c r="D58">
        <v>20210816</v>
      </c>
      <c r="E58">
        <v>3311</v>
      </c>
      <c r="F58">
        <f t="shared" si="24"/>
        <v>1103.6666666666667</v>
      </c>
      <c r="G58">
        <v>2648.2863849765299</v>
      </c>
      <c r="H58">
        <f t="shared" si="25"/>
        <v>882.76212832550993</v>
      </c>
      <c r="I58">
        <v>42.79</v>
      </c>
      <c r="J58">
        <v>5959.2863849765299</v>
      </c>
      <c r="K58" s="1">
        <v>942</v>
      </c>
      <c r="L58" s="1">
        <v>942</v>
      </c>
    </row>
    <row r="59" spans="1:12" x14ac:dyDescent="0.2">
      <c r="A59" t="s">
        <v>71</v>
      </c>
      <c r="B59" t="s">
        <v>43</v>
      </c>
      <c r="C59" t="s">
        <v>18</v>
      </c>
      <c r="D59">
        <v>20210816</v>
      </c>
      <c r="E59">
        <v>3718</v>
      </c>
      <c r="F59">
        <f t="shared" si="24"/>
        <v>1239.3333333333333</v>
      </c>
      <c r="G59">
        <v>3089.5641344956398</v>
      </c>
      <c r="H59">
        <f t="shared" si="25"/>
        <v>1029.8547114985465</v>
      </c>
      <c r="I59">
        <v>40.65</v>
      </c>
      <c r="J59">
        <v>6807.5641344956402</v>
      </c>
      <c r="K59" s="1">
        <v>912</v>
      </c>
      <c r="L59" s="1">
        <v>912</v>
      </c>
    </row>
    <row r="60" spans="1:12" x14ac:dyDescent="0.2">
      <c r="A60" t="s">
        <v>72</v>
      </c>
      <c r="B60" t="s">
        <v>43</v>
      </c>
      <c r="C60" t="s">
        <v>21</v>
      </c>
      <c r="D60">
        <v>20210816</v>
      </c>
      <c r="E60">
        <v>3751.4</v>
      </c>
      <c r="F60">
        <f t="shared" ref="F60:F62" si="26">E60/3</f>
        <v>1250.4666666666667</v>
      </c>
      <c r="G60">
        <v>2667.7285318559598</v>
      </c>
      <c r="H60">
        <f t="shared" ref="H60:H62" si="27">G60/3</f>
        <v>889.24284395198663</v>
      </c>
      <c r="I60">
        <v>43.44</v>
      </c>
      <c r="J60">
        <v>6419.1285318559603</v>
      </c>
      <c r="K60" s="1">
        <v>831</v>
      </c>
      <c r="L60" s="1">
        <v>831</v>
      </c>
    </row>
    <row r="61" spans="1:12" x14ac:dyDescent="0.2">
      <c r="A61" t="s">
        <v>73</v>
      </c>
      <c r="B61" t="s">
        <v>43</v>
      </c>
      <c r="C61" t="s">
        <v>23</v>
      </c>
      <c r="D61">
        <v>20210816</v>
      </c>
      <c r="E61">
        <v>3453.4</v>
      </c>
      <c r="F61">
        <f t="shared" si="26"/>
        <v>1151.1333333333334</v>
      </c>
      <c r="G61">
        <v>3089.0335846470198</v>
      </c>
      <c r="H61">
        <f t="shared" si="27"/>
        <v>1029.6778615490066</v>
      </c>
      <c r="I61">
        <v>34.75</v>
      </c>
      <c r="J61">
        <v>6542.4335846470203</v>
      </c>
      <c r="K61" s="1">
        <v>939</v>
      </c>
      <c r="L61" s="1">
        <v>939</v>
      </c>
    </row>
    <row r="62" spans="1:12" x14ac:dyDescent="0.2">
      <c r="A62" t="s">
        <v>74</v>
      </c>
      <c r="B62" t="s">
        <v>43</v>
      </c>
      <c r="C62" t="s">
        <v>14</v>
      </c>
      <c r="D62">
        <v>20210816</v>
      </c>
      <c r="E62">
        <v>3537.5</v>
      </c>
      <c r="F62">
        <f t="shared" si="26"/>
        <v>1179.1666666666667</v>
      </c>
      <c r="G62">
        <v>2642.5285810356399</v>
      </c>
      <c r="H62">
        <f t="shared" si="27"/>
        <v>880.84286034521335</v>
      </c>
      <c r="I62">
        <v>38.25</v>
      </c>
      <c r="J62">
        <v>6180.0285810356399</v>
      </c>
      <c r="K62" s="1">
        <v>930</v>
      </c>
      <c r="L62" s="1">
        <v>930</v>
      </c>
    </row>
    <row r="63" spans="1:12" x14ac:dyDescent="0.2">
      <c r="K63" s="1"/>
      <c r="L63" s="1"/>
    </row>
    <row r="64" spans="1:12" x14ac:dyDescent="0.2">
      <c r="K64" s="1"/>
      <c r="L64" s="1"/>
    </row>
    <row r="65" spans="11:12" x14ac:dyDescent="0.2">
      <c r="K65" s="1"/>
      <c r="L65" s="1"/>
    </row>
    <row r="66" spans="11:12" x14ac:dyDescent="0.2">
      <c r="K66" s="1"/>
      <c r="L66" s="1"/>
    </row>
    <row r="67" spans="11:12" x14ac:dyDescent="0.2">
      <c r="K67" s="1"/>
      <c r="L67" s="1"/>
    </row>
    <row r="68" spans="11:12" x14ac:dyDescent="0.2">
      <c r="K68" s="1"/>
      <c r="L68" s="1"/>
    </row>
    <row r="69" spans="11:12" x14ac:dyDescent="0.2">
      <c r="K69" s="1"/>
      <c r="L69" s="1"/>
    </row>
    <row r="70" spans="11:12" x14ac:dyDescent="0.2">
      <c r="K70" s="1"/>
      <c r="L70" s="1"/>
    </row>
    <row r="71" spans="11:12" x14ac:dyDescent="0.2">
      <c r="K71" s="1"/>
      <c r="L71" s="1"/>
    </row>
  </sheetData>
  <autoFilter ref="A1:L71" xr:uid="{6FCA1E9B-3971-4D99-92C8-D2CFC1C36108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o.knopf</dc:creator>
  <cp:lastModifiedBy>Oliver M. Knopf</cp:lastModifiedBy>
  <dcterms:created xsi:type="dcterms:W3CDTF">2021-10-30T13:58:31Z</dcterms:created>
  <dcterms:modified xsi:type="dcterms:W3CDTF">2023-11-28T10:12:47Z</dcterms:modified>
</cp:coreProperties>
</file>