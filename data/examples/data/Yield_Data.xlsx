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/>
  <mc:AlternateContent xmlns:mc="http://schemas.openxmlformats.org/markup-compatibility/2006">
    <mc:Choice Requires="x15">
      <x15ac:absPath xmlns:x15ac="http://schemas.microsoft.com/office/spreadsheetml/2010/11/ac" url="D:\ScieBo\02 Experimente\02 CKA\2021_BreedFACE\BigBaking\04 Processed Data\"/>
    </mc:Choice>
  </mc:AlternateContent>
  <xr:revisionPtr revIDLastSave="0" documentId="13_ncr:1_{CF755FF7-8436-4FF4-BD7B-FCD15ED7A25D}" xr6:coauthVersionLast="36" xr6:coauthVersionMax="47" xr10:uidLastSave="{00000000-0000-0000-0000-000000000000}"/>
  <bookViews>
    <workbookView xWindow="4995" yWindow="1560" windowWidth="41460" windowHeight="21105" xr2:uid="{00000000-000D-0000-FFFF-FFFF00000000}"/>
  </bookViews>
  <sheets>
    <sheet name="Sheet 1" sheetId="1" r:id="rId1"/>
    <sheet name="Summary" sheetId="2" r:id="rId2"/>
  </sheets>
  <definedNames>
    <definedName name="_xlnm._FilterDatabase" localSheetId="0" hidden="1">'Sheet 1'!$A$1:$Q$127</definedName>
  </definedNames>
  <calcPr calcId="191029"/>
  <pivotCaches>
    <pivotCache cacheId="78" r:id="rId3"/>
  </pivotCaches>
</workbook>
</file>

<file path=xl/calcChain.xml><?xml version="1.0" encoding="utf-8"?>
<calcChain xmlns="http://schemas.openxmlformats.org/spreadsheetml/2006/main">
  <c r="F118" i="1" l="1"/>
  <c r="F117" i="1"/>
  <c r="F116" i="1"/>
  <c r="F112" i="1"/>
  <c r="F111" i="1"/>
  <c r="F110" i="1"/>
  <c r="F109" i="1"/>
  <c r="F108" i="1"/>
  <c r="F105" i="1"/>
  <c r="F104" i="1"/>
  <c r="F103" i="1"/>
  <c r="F102" i="1"/>
  <c r="F101" i="1"/>
  <c r="F98" i="1"/>
  <c r="F97" i="1"/>
  <c r="F96" i="1"/>
  <c r="F95" i="1"/>
  <c r="F94" i="1"/>
  <c r="F91" i="1"/>
  <c r="F90" i="1"/>
  <c r="F89" i="1"/>
  <c r="F88" i="1"/>
  <c r="F87" i="1"/>
  <c r="F84" i="1"/>
  <c r="F83" i="1"/>
  <c r="F82" i="1"/>
  <c r="F81" i="1"/>
  <c r="F80" i="1"/>
  <c r="F76" i="1"/>
  <c r="F75" i="1"/>
  <c r="F74" i="1"/>
  <c r="F55" i="1"/>
  <c r="F54" i="1"/>
  <c r="F49" i="1"/>
  <c r="F48" i="1"/>
  <c r="F47" i="1"/>
  <c r="F46" i="1"/>
  <c r="F45" i="1"/>
  <c r="F42" i="1"/>
  <c r="F41" i="1"/>
  <c r="F40" i="1"/>
  <c r="F39" i="1"/>
  <c r="F38" i="1"/>
  <c r="F35" i="1"/>
  <c r="F34" i="1"/>
  <c r="F33" i="1"/>
  <c r="F32" i="1"/>
  <c r="F31" i="1"/>
  <c r="F28" i="1"/>
  <c r="F27" i="1"/>
  <c r="F26" i="1"/>
  <c r="F25" i="1"/>
  <c r="F24" i="1"/>
  <c r="F21" i="1"/>
  <c r="F20" i="1"/>
  <c r="F19" i="1"/>
  <c r="F18" i="1"/>
  <c r="F17" i="1"/>
  <c r="F13" i="1"/>
  <c r="F12" i="1"/>
  <c r="F11" i="1"/>
  <c r="H118" i="1"/>
  <c r="H117" i="1"/>
  <c r="H116" i="1"/>
  <c r="H112" i="1"/>
  <c r="H111" i="1"/>
  <c r="H110" i="1"/>
  <c r="H109" i="1"/>
  <c r="H108" i="1"/>
  <c r="H105" i="1"/>
  <c r="H104" i="1"/>
  <c r="H103" i="1"/>
  <c r="H102" i="1"/>
  <c r="H101" i="1"/>
  <c r="H98" i="1"/>
  <c r="H97" i="1"/>
  <c r="H96" i="1"/>
  <c r="H95" i="1"/>
  <c r="H94" i="1"/>
  <c r="H91" i="1"/>
  <c r="H90" i="1"/>
  <c r="H89" i="1"/>
  <c r="H88" i="1"/>
  <c r="H87" i="1"/>
  <c r="H84" i="1"/>
  <c r="H83" i="1"/>
  <c r="H82" i="1"/>
  <c r="H81" i="1"/>
  <c r="H80" i="1"/>
  <c r="H76" i="1"/>
  <c r="H75" i="1"/>
  <c r="H74" i="1"/>
  <c r="H55" i="1"/>
  <c r="H54" i="1"/>
  <c r="H49" i="1"/>
  <c r="H48" i="1"/>
  <c r="H47" i="1"/>
  <c r="H46" i="1"/>
  <c r="H45" i="1"/>
  <c r="H42" i="1"/>
  <c r="H41" i="1"/>
  <c r="H40" i="1"/>
  <c r="H39" i="1"/>
  <c r="H38" i="1"/>
  <c r="H35" i="1"/>
  <c r="H34" i="1"/>
  <c r="H33" i="1"/>
  <c r="H32" i="1"/>
  <c r="H31" i="1"/>
  <c r="H28" i="1"/>
  <c r="H27" i="1"/>
  <c r="H26" i="1"/>
  <c r="H25" i="1"/>
  <c r="H24" i="1"/>
  <c r="H21" i="1"/>
  <c r="H20" i="1"/>
  <c r="H19" i="1"/>
  <c r="H18" i="1"/>
  <c r="H17" i="1"/>
  <c r="H13" i="1"/>
  <c r="H12" i="1"/>
  <c r="H11" i="1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40" i="2"/>
  <c r="B19" i="2"/>
  <c r="D25" i="2" l="1"/>
  <c r="D26" i="2"/>
  <c r="D27" i="2"/>
  <c r="D28" i="2"/>
  <c r="D29" i="2"/>
  <c r="D30" i="2"/>
  <c r="D31" i="2"/>
  <c r="D32" i="2"/>
  <c r="D33" i="2"/>
  <c r="D24" i="2"/>
</calcChain>
</file>

<file path=xl/sharedStrings.xml><?xml version="1.0" encoding="utf-8"?>
<sst xmlns="http://schemas.openxmlformats.org/spreadsheetml/2006/main" count="617" uniqueCount="163">
  <si>
    <t>Plot.ID</t>
  </si>
  <si>
    <t>Treatment</t>
  </si>
  <si>
    <t>Variety</t>
  </si>
  <si>
    <t>Date</t>
  </si>
  <si>
    <t>Yield_after_cleaning_g</t>
  </si>
  <si>
    <t>Straw(gDM/plot)</t>
  </si>
  <si>
    <t>Feuchte.%,.Predicted</t>
  </si>
  <si>
    <t>Protein.i..TS.%,.Predicted</t>
  </si>
  <si>
    <t>Rohprotein.i..OS.%,.Predicted</t>
  </si>
  <si>
    <t>Stärke.i..TS.%,.Predicted</t>
  </si>
  <si>
    <t>N</t>
  </si>
  <si>
    <t>TKG</t>
  </si>
  <si>
    <t>TotalBiomass_g_plot</t>
  </si>
  <si>
    <t>FW001001</t>
  </si>
  <si>
    <t>Control</t>
  </si>
  <si>
    <t>RGT Reform R</t>
  </si>
  <si>
    <t>FW001002</t>
  </si>
  <si>
    <t>FW001003</t>
  </si>
  <si>
    <t>FW001004</t>
  </si>
  <si>
    <t>FW001005</t>
  </si>
  <si>
    <t>FW001006</t>
  </si>
  <si>
    <t>FW001007</t>
  </si>
  <si>
    <t>FW002001</t>
  </si>
  <si>
    <t>FW002002</t>
  </si>
  <si>
    <t>FW002003</t>
  </si>
  <si>
    <t>RGT Reform</t>
  </si>
  <si>
    <t>FW002004</t>
  </si>
  <si>
    <t>Apostel</t>
  </si>
  <si>
    <t>FW002005</t>
  </si>
  <si>
    <t>KWS Emerick</t>
  </si>
  <si>
    <t>FW002006</t>
  </si>
  <si>
    <t>FW002007</t>
  </si>
  <si>
    <t>FW003001</t>
  </si>
  <si>
    <t>FW003002</t>
  </si>
  <si>
    <t>Campesino</t>
  </si>
  <si>
    <t>FW003003</t>
  </si>
  <si>
    <t>Moschus</t>
  </si>
  <si>
    <t>FW003004</t>
  </si>
  <si>
    <t>Asory</t>
  </si>
  <si>
    <t>FW003005</t>
  </si>
  <si>
    <t>Hyvega</t>
  </si>
  <si>
    <t>FW003006</t>
  </si>
  <si>
    <t>Foxx</t>
  </si>
  <si>
    <t>FW003007</t>
  </si>
  <si>
    <t>FW004001</t>
  </si>
  <si>
    <t>FW004002</t>
  </si>
  <si>
    <t>FW004003</t>
  </si>
  <si>
    <t>Informer</t>
  </si>
  <si>
    <t>FW004004</t>
  </si>
  <si>
    <t>LG Initial</t>
  </si>
  <si>
    <t>FW004005</t>
  </si>
  <si>
    <t>FW004006</t>
  </si>
  <si>
    <t>FW004007</t>
  </si>
  <si>
    <t>FW005001</t>
  </si>
  <si>
    <t>FW005002</t>
  </si>
  <si>
    <t>FW005003</t>
  </si>
  <si>
    <t>FW005004</t>
  </si>
  <si>
    <t>FW005005</t>
  </si>
  <si>
    <t>FW005006</t>
  </si>
  <si>
    <t>FW005007</t>
  </si>
  <si>
    <t>FW006001</t>
  </si>
  <si>
    <t>FW006002</t>
  </si>
  <si>
    <t>FW006003</t>
  </si>
  <si>
    <t>FW006004</t>
  </si>
  <si>
    <t>FW006005</t>
  </si>
  <si>
    <t>FW006006</t>
  </si>
  <si>
    <t>FW006007</t>
  </si>
  <si>
    <t>FW007001</t>
  </si>
  <si>
    <t>FW007002</t>
  </si>
  <si>
    <t>FW007003</t>
  </si>
  <si>
    <t>FW007004</t>
  </si>
  <si>
    <t>FW007005</t>
  </si>
  <si>
    <t>FW007006</t>
  </si>
  <si>
    <t>FW007007</t>
  </si>
  <si>
    <t>FW008001</t>
  </si>
  <si>
    <t>FW008002</t>
  </si>
  <si>
    <t>FW008003</t>
  </si>
  <si>
    <t>FW008004</t>
  </si>
  <si>
    <t>FW008005</t>
  </si>
  <si>
    <t>FW008006</t>
  </si>
  <si>
    <t>FW008007</t>
  </si>
  <si>
    <t>FW009001</t>
  </si>
  <si>
    <t>FW009002</t>
  </si>
  <si>
    <t>FW009003</t>
  </si>
  <si>
    <t>FW009004</t>
  </si>
  <si>
    <t>FW009005</t>
  </si>
  <si>
    <t>FW009006</t>
  </si>
  <si>
    <t>FW009007</t>
  </si>
  <si>
    <t>FW010001</t>
  </si>
  <si>
    <t>elevated CO2</t>
  </si>
  <si>
    <t>FW010002</t>
  </si>
  <si>
    <t>FW010003</t>
  </si>
  <si>
    <t>FW010004</t>
  </si>
  <si>
    <t>FW010005</t>
  </si>
  <si>
    <t>FW010006</t>
  </si>
  <si>
    <t>FW010007</t>
  </si>
  <si>
    <t>FW011001</t>
  </si>
  <si>
    <t>FW011002</t>
  </si>
  <si>
    <t>FW011003</t>
  </si>
  <si>
    <t>FW011004</t>
  </si>
  <si>
    <t>FW011005</t>
  </si>
  <si>
    <t>FW011006</t>
  </si>
  <si>
    <t>FW011007</t>
  </si>
  <si>
    <t>FW012001</t>
  </si>
  <si>
    <t>FW012002</t>
  </si>
  <si>
    <t>FW012003</t>
  </si>
  <si>
    <t>FW012004</t>
  </si>
  <si>
    <t>FW012005</t>
  </si>
  <si>
    <t>FW012006</t>
  </si>
  <si>
    <t>FW012007</t>
  </si>
  <si>
    <t>FW013001</t>
  </si>
  <si>
    <t>FW013002</t>
  </si>
  <si>
    <t>FW013003</t>
  </si>
  <si>
    <t>FW013004</t>
  </si>
  <si>
    <t>FW013005</t>
  </si>
  <si>
    <t>FW013006</t>
  </si>
  <si>
    <t>FW013007</t>
  </si>
  <si>
    <t>FW014001</t>
  </si>
  <si>
    <t>FW014002</t>
  </si>
  <si>
    <t>FW014003</t>
  </si>
  <si>
    <t>FW014004</t>
  </si>
  <si>
    <t>FW014005</t>
  </si>
  <si>
    <t>FW014006</t>
  </si>
  <si>
    <t>FW014007</t>
  </si>
  <si>
    <t>FW015001</t>
  </si>
  <si>
    <t>FW015002</t>
  </si>
  <si>
    <t>FW015003</t>
  </si>
  <si>
    <t>FW015004</t>
  </si>
  <si>
    <t>FW015005</t>
  </si>
  <si>
    <t>FW015006</t>
  </si>
  <si>
    <t>FW015007</t>
  </si>
  <si>
    <t>FW016001</t>
  </si>
  <si>
    <t>FW016002</t>
  </si>
  <si>
    <t>FW016003</t>
  </si>
  <si>
    <t>FW016004</t>
  </si>
  <si>
    <t>FW016005</t>
  </si>
  <si>
    <t>FW016006</t>
  </si>
  <si>
    <t>FW016007</t>
  </si>
  <si>
    <t>FW017001</t>
  </si>
  <si>
    <t>FW017002</t>
  </si>
  <si>
    <t>FW017003</t>
  </si>
  <si>
    <t>FW017004</t>
  </si>
  <si>
    <t>FW017005</t>
  </si>
  <si>
    <t>FW017006</t>
  </si>
  <si>
    <t>FW017007</t>
  </si>
  <si>
    <t>FW018001</t>
  </si>
  <si>
    <t>FW018002</t>
  </si>
  <si>
    <t>FW018003</t>
  </si>
  <si>
    <t>FW018004</t>
  </si>
  <si>
    <t>FW018005</t>
  </si>
  <si>
    <t>FW018006</t>
  </si>
  <si>
    <t>FW018007</t>
  </si>
  <si>
    <t>Plats/Core of Plot 20201110</t>
  </si>
  <si>
    <t>Plats/Core of Plot 20201217</t>
  </si>
  <si>
    <t>Yield per m2</t>
  </si>
  <si>
    <t>Straw per m2</t>
  </si>
  <si>
    <t>Yield_per_m2</t>
  </si>
  <si>
    <t>Straw_per_m2</t>
  </si>
  <si>
    <t>Spaltenbeschriftungen</t>
  </si>
  <si>
    <t>Zeilenbeschriftungen</t>
  </si>
  <si>
    <t>(Leer)</t>
  </si>
  <si>
    <t>Gesamtergebnis</t>
  </si>
  <si>
    <t>Mittelwert von Yield_per_m2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</si>
</sst>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Border="1"/>
    <xf numFmtId="1" fontId="0" fillId="0" borderId="0" xfId="0" applyNumberForma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r Knopf" refreshedDate="44684.407095833332" createdVersion="7" refreshedVersion="6" minRefreshableVersion="3" recordCount="127" xr:uid="{97E491EC-A40D-8749-98E2-CD382880DADB}">
  <cacheSource type="worksheet">
    <worksheetSource ref="A1:O1048576" sheet="Sheet 1"/>
  </cacheSource>
  <cacheFields count="15">
    <cacheField name="Plot.ID" numFmtId="0">
      <sharedItems containsBlank="1"/>
    </cacheField>
    <cacheField name="Treatment" numFmtId="0">
      <sharedItems containsBlank="1" count="3">
        <s v="Control"/>
        <s v="elevated CO2"/>
        <m/>
      </sharedItems>
    </cacheField>
    <cacheField name="Variety" numFmtId="0">
      <sharedItems containsBlank="1" count="12">
        <s v="RGT Reform R"/>
        <s v="RGT Reform"/>
        <s v="Apostel"/>
        <s v="KWS Emerick"/>
        <s v="Campesino"/>
        <s v="Moschus"/>
        <s v="Asory"/>
        <s v="Hyvega"/>
        <s v="Foxx"/>
        <s v="Informer"/>
        <s v="LG Initial"/>
        <m/>
      </sharedItems>
    </cacheField>
    <cacheField name="Date" numFmtId="0">
      <sharedItems containsString="0" containsBlank="1" containsNumber="1" containsInteger="1" minValue="20210816" maxValue="20210818"/>
    </cacheField>
    <cacheField name="Yield_after_cleaning_g" numFmtId="0">
      <sharedItems containsString="0" containsBlank="1" containsNumber="1" minValue="2013.5" maxValue="4323"/>
    </cacheField>
    <cacheField name="Yield_per_m2" numFmtId="0">
      <sharedItems containsString="0" containsBlank="1" containsNumber="1" minValue="0" maxValue="1298.0333333333333"/>
    </cacheField>
    <cacheField name="Straw(gDM/plot)" numFmtId="0">
      <sharedItems containsString="0" containsBlank="1" containsNumber="1" minValue="941.35135135135101" maxValue="3794.9458483754502"/>
    </cacheField>
    <cacheField name="Straw_per_m2" numFmtId="0">
      <sharedItems containsString="0" containsBlank="1" containsNumber="1" minValue="313.78378378378369" maxValue="1067.0751633986933"/>
    </cacheField>
    <cacheField name="Feuchte.%,.Predicted" numFmtId="0">
      <sharedItems containsString="0" containsBlank="1" containsNumber="1" minValue="12.1" maxValue="13"/>
    </cacheField>
    <cacheField name="Protein.i..TS.%,.Predicted" numFmtId="0">
      <sharedItems containsString="0" containsBlank="1" containsNumber="1" minValue="12.1" maxValue="16.5"/>
    </cacheField>
    <cacheField name="Rohprotein.i..OS.%,.Predicted" numFmtId="0">
      <sharedItems containsString="0" containsBlank="1" containsNumber="1" minValue="10.6" maxValue="14.5"/>
    </cacheField>
    <cacheField name="Stärke.i..TS.%,.Predicted" numFmtId="0">
      <sharedItems containsString="0" containsBlank="1" containsNumber="1" minValue="69.3" maxValue="73.099999999999994"/>
    </cacheField>
    <cacheField name="N" numFmtId="0">
      <sharedItems containsString="0" containsBlank="1" containsNumber="1" minValue="2.1240000000000001" maxValue="2.8980000000000001"/>
    </cacheField>
    <cacheField name="TKG" numFmtId="0">
      <sharedItems containsString="0" containsBlank="1" containsNumber="1" minValue="33.85" maxValue="45.78"/>
    </cacheField>
    <cacheField name="TotalBiomass_g_plot" numFmtId="0">
      <sharedItems containsString="0" containsBlank="1" containsNumber="1" minValue="3945.1598556357599" maxValue="7227.14584837545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">
  <r>
    <s v="FW001001"/>
    <x v="0"/>
    <x v="0"/>
    <n v="20210818"/>
    <n v="3138.7"/>
    <m/>
    <n v="1999.7395348837199"/>
    <m/>
    <n v="12.6"/>
    <n v="15.2"/>
    <n v="13.2"/>
    <n v="71.400000000000006"/>
    <n v="2.6589999999999998"/>
    <n v="40.93"/>
    <n v="5138.4395348837197"/>
  </r>
  <r>
    <s v="FW001002"/>
    <x v="0"/>
    <x v="0"/>
    <n v="20210816"/>
    <n v="3346"/>
    <m/>
    <n v="2270.0811359026402"/>
    <m/>
    <n v="12.4"/>
    <n v="13.7"/>
    <n v="12"/>
    <n v="71.900000000000006"/>
    <n v="2.4119999999999999"/>
    <n v="41.65"/>
    <n v="5616.0811359026402"/>
  </r>
  <r>
    <s v="FW001003"/>
    <x v="0"/>
    <x v="0"/>
    <n v="20210816"/>
    <n v="3093.1"/>
    <m/>
    <n v="1630.75"/>
    <m/>
    <n v="12.4"/>
    <n v="14.9"/>
    <n v="13"/>
    <n v="71.3"/>
    <n v="2.6139999999999999"/>
    <n v="39.840000000000003"/>
    <n v="4723.8500000000004"/>
  </r>
  <r>
    <s v="FW001004"/>
    <x v="0"/>
    <x v="0"/>
    <n v="20210816"/>
    <n v="3336"/>
    <m/>
    <n v="2271.12283345893"/>
    <m/>
    <n v="12.3"/>
    <n v="13.2"/>
    <n v="11.6"/>
    <n v="72.099999999999994"/>
    <n v="2.3140000000000001"/>
    <n v="40.85"/>
    <n v="5607.1228334589296"/>
  </r>
  <r>
    <s v="FW001005"/>
    <x v="0"/>
    <x v="0"/>
    <n v="20210816"/>
    <n v="3396.5"/>
    <m/>
    <n v="2382.7224669603502"/>
    <m/>
    <n v="12.5"/>
    <n v="12.9"/>
    <n v="11.3"/>
    <n v="72.599999999999994"/>
    <n v="2.2610000000000001"/>
    <n v="40.31"/>
    <n v="5779.2224669603502"/>
  </r>
  <r>
    <s v="FW001006"/>
    <x v="0"/>
    <x v="0"/>
    <n v="20210816"/>
    <n v="3094.8"/>
    <m/>
    <n v="2225.8223684210502"/>
    <m/>
    <n v="12.4"/>
    <n v="13.7"/>
    <n v="12"/>
    <n v="71.5"/>
    <n v="2.4079999999999999"/>
    <n v="38.9"/>
    <n v="5320.6223684210499"/>
  </r>
  <r>
    <s v="FW001007"/>
    <x v="0"/>
    <x v="0"/>
    <n v="20210816"/>
    <n v="2938.4"/>
    <m/>
    <n v="1926.8181818181799"/>
    <m/>
    <n v="12.4"/>
    <n v="14.9"/>
    <n v="13.1"/>
    <n v="71.599999999999994"/>
    <n v="2.6190000000000002"/>
    <n v="39.369999999999997"/>
    <n v="4865.2181818181798"/>
  </r>
  <r>
    <s v="FW002001"/>
    <x v="0"/>
    <x v="0"/>
    <n v="20210816"/>
    <n v="3266.5"/>
    <m/>
    <n v="2206.25"/>
    <m/>
    <n v="12.3"/>
    <n v="15.3"/>
    <n v="13.4"/>
    <n v="71.099999999999994"/>
    <n v="2.677"/>
    <n v="40.049999999999997"/>
    <n v="5472.75"/>
  </r>
  <r>
    <s v="FW002002"/>
    <x v="0"/>
    <x v="0"/>
    <n v="20210816"/>
    <n v="3492.2"/>
    <m/>
    <n v="2407.0611835506502"/>
    <m/>
    <n v="12.5"/>
    <n v="13.8"/>
    <n v="12.1"/>
    <n v="72.8"/>
    <n v="2.419"/>
    <n v="42.92"/>
    <n v="5899.2611835506495"/>
  </r>
  <r>
    <s v="FW002003"/>
    <x v="0"/>
    <x v="1"/>
    <n v="20210816"/>
    <n v="3288.7"/>
    <n v="1096.2333333333333"/>
    <n v="2707.1375464684002"/>
    <n v="902.37918215613342"/>
    <n v="12.3"/>
    <n v="14.5"/>
    <n v="12.7"/>
    <n v="71.5"/>
    <n v="2.5470000000000002"/>
    <n v="40.53"/>
    <n v="5995.8375464684004"/>
  </r>
  <r>
    <s v="FW002004"/>
    <x v="0"/>
    <x v="2"/>
    <n v="20210818"/>
    <n v="2979.6"/>
    <n v="993.19999999999993"/>
    <n v="2095.19447287615"/>
    <n v="698.39815762538331"/>
    <n v="12.4"/>
    <n v="13.3"/>
    <n v="11.6"/>
    <n v="72"/>
    <n v="2.33"/>
    <n v="44.82"/>
    <n v="5074.7944728761504"/>
  </r>
  <r>
    <s v="FW002005"/>
    <x v="0"/>
    <x v="3"/>
    <n v="20210816"/>
    <n v="3170.5"/>
    <n v="1056.8333333333333"/>
    <n v="2311.1200644641399"/>
    <n v="770.37335482137996"/>
    <n v="12.5"/>
    <n v="14.1"/>
    <n v="12.4"/>
    <n v="71.2"/>
    <n v="2.48"/>
    <n v="41.54"/>
    <n v="5481.6200644641403"/>
  </r>
  <r>
    <s v="FW002006"/>
    <x v="0"/>
    <x v="0"/>
    <n v="20210816"/>
    <n v="3025.7"/>
    <m/>
    <n v="2313.4628730048598"/>
    <m/>
    <n v="12.4"/>
    <n v="13.3"/>
    <n v="11.6"/>
    <n v="72"/>
    <n v="2.3290000000000002"/>
    <n v="39.51"/>
    <n v="5339.1628730048596"/>
  </r>
  <r>
    <s v="FW002007"/>
    <x v="0"/>
    <x v="0"/>
    <n v="20210816"/>
    <n v="2718.1"/>
    <m/>
    <n v="1906.89356435644"/>
    <m/>
    <n v="12.3"/>
    <n v="14.4"/>
    <n v="12.7"/>
    <n v="72"/>
    <n v="2.5329999999999999"/>
    <n v="39.47"/>
    <n v="4624.9935643564404"/>
  </r>
  <r>
    <s v="FW003001"/>
    <x v="0"/>
    <x v="0"/>
    <n v="20210816"/>
    <n v="3308.4"/>
    <m/>
    <n v="2364.4583987441101"/>
    <m/>
    <n v="12.3"/>
    <n v="15.2"/>
    <n v="13.3"/>
    <n v="70.900000000000006"/>
    <n v="2.6680000000000001"/>
    <n v="41.79"/>
    <n v="5672.8583987441098"/>
  </r>
  <r>
    <s v="FW003002"/>
    <x v="0"/>
    <x v="4"/>
    <n v="20210816"/>
    <n v="3486.6"/>
    <n v="1162.2"/>
    <n v="2418.31665685697"/>
    <n v="806.1055522856567"/>
    <n v="12.6"/>
    <n v="13.1"/>
    <n v="11.5"/>
    <n v="73"/>
    <n v="2.2999999999999998"/>
    <n v="38.51"/>
    <n v="5904.9166568569699"/>
  </r>
  <r>
    <s v="FW003003"/>
    <x v="0"/>
    <x v="5"/>
    <n v="20210818"/>
    <n v="3028.5"/>
    <n v="1009.5"/>
    <n v="2574.9060272196998"/>
    <n v="858.30200907323331"/>
    <n v="12.4"/>
    <n v="14.8"/>
    <n v="13"/>
    <n v="70.900000000000006"/>
    <n v="2.6030000000000002"/>
    <n v="42.13"/>
    <n v="5603.4060272197003"/>
  </r>
  <r>
    <s v="FW003004"/>
    <x v="0"/>
    <x v="6"/>
    <n v="20210818"/>
    <n v="3177.4"/>
    <n v="1059.1333333333334"/>
    <n v="2101.4147431124302"/>
    <n v="700.47158103747677"/>
    <n v="12.3"/>
    <n v="12.3"/>
    <n v="10.8"/>
    <n v="72.2"/>
    <n v="2.1640000000000001"/>
    <n v="40.5"/>
    <n v="5278.8147431124298"/>
  </r>
  <r>
    <s v="FW003005"/>
    <x v="0"/>
    <x v="7"/>
    <n v="20210816"/>
    <n v="3646.4"/>
    <n v="1215.4666666666667"/>
    <n v="2599.1672449687699"/>
    <n v="866.38908165625662"/>
    <n v="12.6"/>
    <n v="12.7"/>
    <n v="11.1"/>
    <n v="71"/>
    <n v="2.2360000000000002"/>
    <n v="39.979999999999997"/>
    <n v="6245.56724496877"/>
  </r>
  <r>
    <s v="FW003006"/>
    <x v="0"/>
    <x v="8"/>
    <n v="20210816"/>
    <n v="2988.8"/>
    <n v="996.26666666666677"/>
    <n v="2318.7152777777801"/>
    <n v="772.90509259259341"/>
    <n v="12.2"/>
    <n v="12.7"/>
    <n v="11.2"/>
    <n v="71.900000000000006"/>
    <n v="2.2360000000000002"/>
    <n v="40.32"/>
    <n v="5307.5152777777803"/>
  </r>
  <r>
    <s v="FW003007"/>
    <x v="0"/>
    <x v="0"/>
    <n v="20210818"/>
    <n v="2937.1"/>
    <m/>
    <n v="2129.9617834394899"/>
    <m/>
    <n v="13"/>
    <n v="14.6"/>
    <n v="12.7"/>
    <n v="71.5"/>
    <n v="2.5550000000000002"/>
    <n v="40.32"/>
    <n v="5067.0617834394898"/>
  </r>
  <r>
    <s v="FW004001"/>
    <x v="0"/>
    <x v="0"/>
    <n v="20210816"/>
    <n v="3290.4"/>
    <m/>
    <n v="2234.3012704174198"/>
    <m/>
    <n v="12.5"/>
    <n v="14.9"/>
    <n v="13"/>
    <n v="71.8"/>
    <n v="2.609"/>
    <n v="41.74"/>
    <n v="5524.7012704174203"/>
  </r>
  <r>
    <s v="FW004002"/>
    <x v="0"/>
    <x v="1"/>
    <n v="20210816"/>
    <n v="3125.4"/>
    <n v="1041.8"/>
    <n v="2300.8522727272698"/>
    <n v="766.9507575757566"/>
    <n v="12.4"/>
    <n v="14"/>
    <n v="12.3"/>
    <n v="71.900000000000006"/>
    <n v="2.4630000000000001"/>
    <n v="39.99"/>
    <n v="5426.2522727272699"/>
  </r>
  <r>
    <s v="FW004003"/>
    <x v="0"/>
    <x v="9"/>
    <n v="20210818"/>
    <n v="3376.6"/>
    <n v="1125.5333333333333"/>
    <n v="2366.4237203909202"/>
    <n v="788.80790679697338"/>
    <n v="12.4"/>
    <n v="13.3"/>
    <n v="11.6"/>
    <n v="71.599999999999994"/>
    <n v="2.3290000000000002"/>
    <n v="43.67"/>
    <n v="5743.0237203909201"/>
  </r>
  <r>
    <s v="FW004004"/>
    <x v="0"/>
    <x v="10"/>
    <n v="20210818"/>
    <n v="3049.6"/>
    <n v="1016.5333333333333"/>
    <n v="2147.5917278185502"/>
    <n v="715.86390927285004"/>
    <n v="12.2"/>
    <n v="13.5"/>
    <n v="11.8"/>
    <n v="70.7"/>
    <n v="2.3639999999999999"/>
    <n v="37.39"/>
    <n v="5197.1917278185501"/>
  </r>
  <r>
    <s v="FW004005"/>
    <x v="0"/>
    <x v="7"/>
    <n v="20210816"/>
    <n v="3344.4"/>
    <n v="1114.8"/>
    <n v="2468.1907250163299"/>
    <n v="822.73024167210997"/>
    <n v="12.5"/>
    <n v="12.2"/>
    <n v="10.7"/>
    <n v="71.599999999999994"/>
    <n v="2.1459999999999999"/>
    <n v="42.66"/>
    <n v="5812.59072501633"/>
  </r>
  <r>
    <s v="FW004006"/>
    <x v="0"/>
    <x v="2"/>
    <n v="20210816"/>
    <n v="2738.9"/>
    <n v="912.9666666666667"/>
    <n v="2102.0270270270298"/>
    <n v="700.67567567567664"/>
    <n v="12.6"/>
    <n v="12.8"/>
    <n v="11.2"/>
    <n v="72.3"/>
    <n v="2.2509999999999999"/>
    <n v="43.33"/>
    <n v="4840.9270270270299"/>
  </r>
  <r>
    <s v="FW004007"/>
    <x v="0"/>
    <x v="0"/>
    <n v="20210816"/>
    <m/>
    <m/>
    <n v="1982.5917252146801"/>
    <m/>
    <n v="12.3"/>
    <n v="14.5"/>
    <n v="12.7"/>
    <n v="71.599999999999994"/>
    <n v="2.5489999999999999"/>
    <n v="40.64"/>
    <m/>
  </r>
  <r>
    <s v="FW005001"/>
    <x v="0"/>
    <x v="0"/>
    <n v="20210818"/>
    <n v="3464.4"/>
    <m/>
    <n v="2296.08733624454"/>
    <m/>
    <n v="12.4"/>
    <n v="14.8"/>
    <n v="13"/>
    <n v="71.2"/>
    <n v="2.5960000000000001"/>
    <n v="42.11"/>
    <n v="5760.4873362445396"/>
  </r>
  <r>
    <s v="FW005002"/>
    <x v="0"/>
    <x v="3"/>
    <n v="20210816"/>
    <n v="3003"/>
    <n v="1001"/>
    <n v="2196.5865011636902"/>
    <n v="732.19550038789669"/>
    <n v="12.6"/>
    <n v="15"/>
    <n v="13.1"/>
    <n v="70.099999999999994"/>
    <n v="2.6379999999999999"/>
    <n v="40.799999999999997"/>
    <n v="5199.5865011636897"/>
  </r>
  <r>
    <s v="FW005003"/>
    <x v="0"/>
    <x v="9"/>
    <n v="20210818"/>
    <n v="3287.1"/>
    <n v="1095.7"/>
    <n v="2358.7858183584299"/>
    <n v="786.26193945281"/>
    <n v="12.4"/>
    <n v="13.3"/>
    <n v="11.7"/>
    <n v="71.5"/>
    <n v="2.3340000000000001"/>
    <n v="43.48"/>
    <n v="5645.8858183584298"/>
  </r>
  <r>
    <s v="FW005004"/>
    <x v="0"/>
    <x v="6"/>
    <n v="20210816"/>
    <m/>
    <n v="0"/>
    <n v="2363.5742743312499"/>
    <n v="787.85809144374991"/>
    <n v="12.4"/>
    <n v="12.6"/>
    <n v="11"/>
    <n v="73.099999999999994"/>
    <n v="2.2080000000000002"/>
    <n v="41.04"/>
    <m/>
  </r>
  <r>
    <s v="FW005005"/>
    <x v="0"/>
    <x v="1"/>
    <n v="20210818"/>
    <n v="3218.7"/>
    <n v="1072.8999999999999"/>
    <n v="2392.8125"/>
    <n v="797.60416666666663"/>
    <n v="12.4"/>
    <n v="13.1"/>
    <n v="11.5"/>
    <n v="72.099999999999994"/>
    <n v="2.3050000000000002"/>
    <n v="39.01"/>
    <n v="5611.5124999999998"/>
  </r>
  <r>
    <s v="FW005006"/>
    <x v="0"/>
    <x v="8"/>
    <n v="20210816"/>
    <n v="2939.4"/>
    <n v="979.80000000000007"/>
    <n v="2472.8174603174598"/>
    <n v="824.27248677248656"/>
    <n v="12.5"/>
    <n v="12.7"/>
    <n v="11.1"/>
    <n v="71.599999999999994"/>
    <n v="2.2250000000000001"/>
    <n v="40.200000000000003"/>
    <n v="5412.2174603174599"/>
  </r>
  <r>
    <s v="FW005007"/>
    <x v="0"/>
    <x v="0"/>
    <n v="20210818"/>
    <n v="2684.3"/>
    <m/>
    <n v="2043.83419689119"/>
    <m/>
    <n v="12.4"/>
    <n v="14.6"/>
    <n v="12.8"/>
    <n v="71"/>
    <n v="2.5640000000000001"/>
    <n v="40.700000000000003"/>
    <n v="4728.1341968911902"/>
  </r>
  <r>
    <s v="FW006001"/>
    <x v="0"/>
    <x v="0"/>
    <n v="20210816"/>
    <n v="3752.5"/>
    <m/>
    <n v="2505.8568851473201"/>
    <m/>
    <n v="12.4"/>
    <n v="14.7"/>
    <n v="12.9"/>
    <n v="71.2"/>
    <n v="2.5739999999999998"/>
    <n v="42.03"/>
    <n v="6258.3568851473201"/>
  </r>
  <r>
    <s v="FW006002"/>
    <x v="0"/>
    <x v="5"/>
    <n v="20210816"/>
    <n v="3162.4"/>
    <n v="1054.1333333333334"/>
    <n v="2402.3661971831002"/>
    <n v="800.78873239436678"/>
    <n v="12.7"/>
    <n v="15.2"/>
    <n v="13.3"/>
    <n v="70.900000000000006"/>
    <n v="2.6709999999999998"/>
    <n v="43.23"/>
    <n v="5564.7661971831003"/>
  </r>
  <r>
    <s v="FW006003"/>
    <x v="0"/>
    <x v="10"/>
    <n v="20210818"/>
    <n v="3313.6"/>
    <n v="1104.5333333333333"/>
    <n v="2516.6782006920398"/>
    <n v="838.89273356401327"/>
    <n v="12.3"/>
    <n v="14.7"/>
    <n v="12.9"/>
    <n v="70.2"/>
    <n v="2.581"/>
    <n v="37.130000000000003"/>
    <n v="5830.2782006920397"/>
  </r>
  <r>
    <s v="FW006004"/>
    <x v="0"/>
    <x v="4"/>
    <n v="20210816"/>
    <n v="3005.9"/>
    <n v="1001.9666666666667"/>
    <n v="2042.8766375545899"/>
    <n v="680.95887918486335"/>
    <n v="12.5"/>
    <n v="12.3"/>
    <n v="10.7"/>
    <n v="72.400000000000006"/>
    <n v="2.1509999999999998"/>
    <n v="38.07"/>
    <n v="5048.7766375545898"/>
  </r>
  <r>
    <s v="FW006005"/>
    <x v="0"/>
    <x v="8"/>
    <n v="20210818"/>
    <n v="3160"/>
    <n v="1053.3333333333333"/>
    <n v="2362.9908256880699"/>
    <n v="787.66360856269"/>
    <n v="12.4"/>
    <n v="12.4"/>
    <n v="10.8"/>
    <n v="71.2"/>
    <n v="2.1709999999999998"/>
    <n v="41.79"/>
    <n v="5522.9908256880699"/>
  </r>
  <r>
    <s v="FW006006"/>
    <x v="0"/>
    <x v="4"/>
    <n v="20210818"/>
    <n v="2788.2"/>
    <n v="929.4"/>
    <n v="2091.15095430885"/>
    <n v="697.05031810294997"/>
    <n v="12.6"/>
    <n v="12.3"/>
    <n v="10.7"/>
    <n v="72.5"/>
    <n v="2.1549999999999998"/>
    <n v="37.020000000000003"/>
    <n v="4879.3509543088503"/>
  </r>
  <r>
    <s v="FW006007"/>
    <x v="0"/>
    <x v="0"/>
    <n v="20210816"/>
    <n v="2797.8"/>
    <m/>
    <n v="1897.1428571428601"/>
    <m/>
    <n v="12.5"/>
    <n v="14.3"/>
    <n v="12.5"/>
    <n v="72.099999999999994"/>
    <n v="2.5089999999999999"/>
    <n v="40.39"/>
    <n v="4694.9428571428598"/>
  </r>
  <r>
    <s v="FW007001"/>
    <x v="0"/>
    <x v="0"/>
    <n v="20210816"/>
    <n v="3637.7"/>
    <m/>
    <n v="2247.84708249497"/>
    <m/>
    <n v="12.7"/>
    <n v="15"/>
    <n v="13.1"/>
    <n v="71.5"/>
    <n v="2.6360000000000001"/>
    <n v="40.799999999999997"/>
    <n v="5885.5470824949698"/>
  </r>
  <r>
    <s v="FW007002"/>
    <x v="0"/>
    <x v="2"/>
    <n v="20210816"/>
    <n v="3113.4"/>
    <n v="1037.8"/>
    <n v="2106.6799204771401"/>
    <n v="702.22664015904672"/>
    <n v="12.4"/>
    <n v="14.3"/>
    <n v="12.5"/>
    <n v="71.599999999999994"/>
    <n v="2.504"/>
    <n v="45.78"/>
    <n v="5220.0799204771401"/>
  </r>
  <r>
    <s v="FW007003"/>
    <x v="0"/>
    <x v="9"/>
    <n v="20210818"/>
    <n v="3256.5"/>
    <n v="1085.5"/>
    <n v="2611.5050167224099"/>
    <n v="870.50167224080326"/>
    <n v="12.4"/>
    <n v="13.9"/>
    <n v="12.2"/>
    <n v="71.3"/>
    <n v="2.4449999999999998"/>
    <n v="41.96"/>
    <n v="5868.0050167224099"/>
  </r>
  <r>
    <s v="FW007004"/>
    <x v="0"/>
    <x v="7"/>
    <n v="20210816"/>
    <n v="3416"/>
    <n v="1138.6666666666667"/>
    <n v="2085.7818181818202"/>
    <n v="695.26060606060673"/>
    <n v="12.4"/>
    <n v="12.9"/>
    <n v="11.3"/>
    <n v="71.5"/>
    <n v="2.266"/>
    <n v="42.47"/>
    <n v="5501.7818181818202"/>
  </r>
  <r>
    <s v="FW007005"/>
    <x v="0"/>
    <x v="10"/>
    <n v="20210816"/>
    <n v="3203.5"/>
    <n v="1067.8333333333333"/>
    <n v="2337.54290171607"/>
    <n v="779.18096723868996"/>
    <n v="12.5"/>
    <n v="14"/>
    <n v="12.2"/>
    <n v="71.599999999999994"/>
    <n v="2.4500000000000002"/>
    <n v="38.17"/>
    <n v="5541.0429017160704"/>
  </r>
  <r>
    <s v="FW007006"/>
    <x v="0"/>
    <x v="3"/>
    <n v="20210818"/>
    <n v="2921"/>
    <n v="973.66666666666663"/>
    <n v="2316.9499657299498"/>
    <n v="772.31665524331663"/>
    <n v="12.7"/>
    <n v="13.7"/>
    <n v="12"/>
    <n v="71.3"/>
    <n v="2.41"/>
    <n v="39.03"/>
    <n v="5237.9499657299502"/>
  </r>
  <r>
    <s v="FW007007"/>
    <x v="0"/>
    <x v="0"/>
    <n v="20210818"/>
    <n v="2759.9"/>
    <m/>
    <n v="1973.6529318542"/>
    <m/>
    <n v="12.6"/>
    <n v="14.5"/>
    <n v="12.7"/>
    <n v="72.2"/>
    <n v="2.5419999999999998"/>
    <n v="39.29"/>
    <n v="4733.5529318542003"/>
  </r>
  <r>
    <s v="FW008001"/>
    <x v="0"/>
    <x v="0"/>
    <n v="20210818"/>
    <n v="4118.2"/>
    <m/>
    <n v="2349.4268774703601"/>
    <m/>
    <n v="12.5"/>
    <n v="14.8"/>
    <n v="12.9"/>
    <n v="71.3"/>
    <n v="2.597"/>
    <n v="44.23"/>
    <n v="6467.6268774703503"/>
  </r>
  <r>
    <s v="FW008002"/>
    <x v="0"/>
    <x v="0"/>
    <n v="20210816"/>
    <n v="3432.2"/>
    <m/>
    <n v="3794.9458483754502"/>
    <m/>
    <n v="12.5"/>
    <n v="14.5"/>
    <n v="12.7"/>
    <n v="71.900000000000006"/>
    <n v="2.544"/>
    <n v="43.39"/>
    <n v="7227.1458483754504"/>
  </r>
  <r>
    <s v="FW008003"/>
    <x v="0"/>
    <x v="0"/>
    <n v="20210816"/>
    <n v="3304.4"/>
    <m/>
    <n v="2351.21107266436"/>
    <m/>
    <n v="12.4"/>
    <n v="14.2"/>
    <n v="12.4"/>
    <n v="72"/>
    <n v="2.4860000000000002"/>
    <n v="40.86"/>
    <n v="5655.6110726643601"/>
  </r>
  <r>
    <s v="FW008004"/>
    <x v="0"/>
    <x v="6"/>
    <n v="20210816"/>
    <n v="3208.8"/>
    <n v="1069.6000000000001"/>
    <n v="2298.69158878505"/>
    <n v="766.23052959501672"/>
    <n v="12.3"/>
    <n v="12.1"/>
    <n v="10.6"/>
    <n v="72.599999999999994"/>
    <n v="2.1240000000000001"/>
    <n v="40.93"/>
    <n v="5507.4915887850502"/>
  </r>
  <r>
    <s v="FW008005"/>
    <x v="0"/>
    <x v="5"/>
    <n v="20210818"/>
    <n v="3152.1"/>
    <n v="1050.7"/>
    <n v="2374.0243902439001"/>
    <n v="791.34146341463338"/>
    <n v="12.8"/>
    <n v="13.8"/>
    <n v="12"/>
    <n v="71.2"/>
    <n v="2.4159999999999999"/>
    <n v="42.47"/>
    <n v="5526.1243902439001"/>
  </r>
  <r>
    <s v="FW008006"/>
    <x v="0"/>
    <x v="0"/>
    <n v="20210816"/>
    <n v="3055.7"/>
    <m/>
    <n v="2331.3220338983101"/>
    <m/>
    <n v="12.3"/>
    <n v="13.3"/>
    <n v="11.6"/>
    <n v="71.900000000000006"/>
    <n v="2.3279999999999998"/>
    <n v="39.64"/>
    <n v="5387.0220338983099"/>
  </r>
  <r>
    <s v="FW008007"/>
    <x v="0"/>
    <x v="0"/>
    <n v="20210816"/>
    <n v="2847.6"/>
    <m/>
    <n v="1882.9279700654799"/>
    <m/>
    <n v="12.4"/>
    <n v="14.6"/>
    <n v="12.8"/>
    <n v="71.8"/>
    <n v="2.556"/>
    <n v="41.72"/>
    <n v="4730.5279700654801"/>
  </r>
  <r>
    <s v="FW009001"/>
    <x v="0"/>
    <x v="0"/>
    <n v="20210818"/>
    <n v="4323"/>
    <m/>
    <n v="2591.2553802008601"/>
    <m/>
    <n v="12.5"/>
    <n v="14.9"/>
    <n v="13.1"/>
    <n v="71.599999999999994"/>
    <n v="2.6179999999999999"/>
    <n v="42.43"/>
    <n v="6914.2553802008597"/>
  </r>
  <r>
    <s v="FW009002"/>
    <x v="0"/>
    <x v="0"/>
    <n v="20210816"/>
    <n v="3625.8"/>
    <m/>
    <n v="2615.19823788546"/>
    <m/>
    <n v="12.3"/>
    <n v="14.8"/>
    <n v="13"/>
    <n v="71"/>
    <n v="2.6040000000000001"/>
    <n v="41.28"/>
    <n v="6240.9982378854602"/>
  </r>
  <r>
    <s v="FW009003"/>
    <x v="0"/>
    <x v="0"/>
    <n v="20210816"/>
    <n v="3111.6"/>
    <m/>
    <n v="2315.2885187388501"/>
    <m/>
    <n v="12.3"/>
    <n v="14.9"/>
    <n v="13.1"/>
    <n v="71.599999999999994"/>
    <n v="2.6139999999999999"/>
    <n v="39.79"/>
    <n v="5426.8885187388496"/>
  </r>
  <r>
    <s v="FW009004"/>
    <x v="0"/>
    <x v="0"/>
    <n v="20210816"/>
    <n v="3165.3"/>
    <m/>
    <n v="2201.36892539357"/>
    <m/>
    <n v="12.4"/>
    <n v="12.9"/>
    <n v="11.3"/>
    <n v="72.8"/>
    <n v="2.2610000000000001"/>
    <n v="42"/>
    <n v="5366.6689253935701"/>
  </r>
  <r>
    <s v="FW009005"/>
    <x v="0"/>
    <x v="0"/>
    <n v="20210816"/>
    <n v="3469.5"/>
    <m/>
    <n v="2308.96551724138"/>
    <m/>
    <n v="12.4"/>
    <n v="12.9"/>
    <n v="11.3"/>
    <n v="71.900000000000006"/>
    <n v="2.258"/>
    <n v="42.09"/>
    <n v="5778.4655172413804"/>
  </r>
  <r>
    <s v="FW009006"/>
    <x v="0"/>
    <x v="0"/>
    <n v="20210816"/>
    <n v="3384.3"/>
    <m/>
    <n v="2378.0945454545499"/>
    <m/>
    <n v="12.7"/>
    <n v="12.5"/>
    <n v="10.9"/>
    <n v="72.099999999999994"/>
    <n v="2.2000000000000002"/>
    <n v="40.22"/>
    <n v="5762.3945454545501"/>
  </r>
  <r>
    <s v="FW009007"/>
    <x v="0"/>
    <x v="0"/>
    <n v="20210816"/>
    <n v="2830.4"/>
    <m/>
    <n v="1900.43778801843"/>
    <m/>
    <n v="12.5"/>
    <n v="14.4"/>
    <n v="12.6"/>
    <n v="71.3"/>
    <n v="2.5190000000000001"/>
    <n v="39.799999999999997"/>
    <n v="4730.8377880184298"/>
  </r>
  <r>
    <s v="FW010001"/>
    <x v="1"/>
    <x v="0"/>
    <n v="20210816"/>
    <n v="3868.6"/>
    <m/>
    <n v="3054.1095890411002"/>
    <m/>
    <n v="12.5"/>
    <n v="15.3"/>
    <n v="13.4"/>
    <n v="71"/>
    <n v="2.6829999999999998"/>
    <n v="42.14"/>
    <n v="6922.7095890411001"/>
  </r>
  <r>
    <s v="FW010002"/>
    <x v="1"/>
    <x v="0"/>
    <n v="20210816"/>
    <n v="3374.9"/>
    <m/>
    <n v="2657.7246011754801"/>
    <m/>
    <n v="12.2"/>
    <n v="14.1"/>
    <n v="12.4"/>
    <n v="71.900000000000006"/>
    <n v="2.4700000000000002"/>
    <n v="40.69"/>
    <n v="6032.6246011754802"/>
  </r>
  <r>
    <s v="FW010003"/>
    <x v="1"/>
    <x v="0"/>
    <n v="20210816"/>
    <n v="3519.5"/>
    <m/>
    <n v="3021.7243920412702"/>
    <m/>
    <n v="12.3"/>
    <n v="14.6"/>
    <n v="12.8"/>
    <n v="72.400000000000006"/>
    <n v="2.5550000000000002"/>
    <n v="40.049999999999997"/>
    <n v="6541.2243920412702"/>
  </r>
  <r>
    <s v="FW010004"/>
    <x v="1"/>
    <x v="0"/>
    <n v="20210818"/>
    <n v="3127.4"/>
    <m/>
    <n v="2428.0680977053999"/>
    <m/>
    <n v="12.3"/>
    <n v="13.4"/>
    <n v="11.8"/>
    <n v="71.599999999999994"/>
    <n v="2.3530000000000002"/>
    <n v="37.67"/>
    <n v="5555.4680977054004"/>
  </r>
  <r>
    <s v="FW010005"/>
    <x v="1"/>
    <x v="0"/>
    <n v="20210816"/>
    <n v="3106.6"/>
    <m/>
    <n v="2597.1428571428601"/>
    <m/>
    <n v="12.3"/>
    <n v="14.1"/>
    <n v="12.4"/>
    <n v="71.900000000000006"/>
    <n v="2.4769999999999999"/>
    <n v="41.36"/>
    <n v="5703.74285714286"/>
  </r>
  <r>
    <s v="FW010006"/>
    <x v="1"/>
    <x v="0"/>
    <n v="20210816"/>
    <n v="3307.3"/>
    <m/>
    <n v="2484.1216216216199"/>
    <m/>
    <n v="12.3"/>
    <n v="13.7"/>
    <n v="12"/>
    <n v="71.400000000000006"/>
    <n v="2.399"/>
    <n v="40.04"/>
    <n v="5791.42162162162"/>
  </r>
  <r>
    <s v="FW010007"/>
    <x v="1"/>
    <x v="0"/>
    <n v="20210818"/>
    <n v="3056.7"/>
    <m/>
    <n v="1906.18357487923"/>
    <m/>
    <n v="12.3"/>
    <n v="14.6"/>
    <n v="12.8"/>
    <n v="71.5"/>
    <n v="2.5640000000000001"/>
    <n v="40.44"/>
    <n v="4962.8835748792299"/>
  </r>
  <r>
    <s v="FW011001"/>
    <x v="1"/>
    <x v="0"/>
    <n v="20210816"/>
    <n v="3883.9"/>
    <m/>
    <n v="2177.4113767518602"/>
    <m/>
    <n v="12.2"/>
    <n v="15.7"/>
    <n v="13.8"/>
    <n v="70.900000000000006"/>
    <n v="2.75"/>
    <n v="39.36"/>
    <n v="6061.3113767518598"/>
  </r>
  <r>
    <s v="FW011002"/>
    <x v="1"/>
    <x v="0"/>
    <n v="20210816"/>
    <n v="3472.9"/>
    <m/>
    <n v="2777.92549775209"/>
    <m/>
    <n v="12.4"/>
    <n v="14.9"/>
    <n v="13.1"/>
    <n v="71.400000000000006"/>
    <n v="2.621"/>
    <n v="38.979999999999997"/>
    <n v="6250.8254977520901"/>
  </r>
  <r>
    <s v="FW011003"/>
    <x v="1"/>
    <x v="1"/>
    <n v="20210816"/>
    <n v="3691.8"/>
    <n v="1230.6000000000001"/>
    <n v="2975.25464834276"/>
    <n v="991.75154944758663"/>
    <n v="12.2"/>
    <n v="14.4"/>
    <n v="12.6"/>
    <n v="71.3"/>
    <n v="2.5219999999999998"/>
    <n v="39.04"/>
    <n v="6667.0546483427597"/>
  </r>
  <r>
    <s v="FW011004"/>
    <x v="1"/>
    <x v="10"/>
    <n v="20210816"/>
    <n v="3332.1"/>
    <n v="1110.7"/>
    <n v="2947.8260869565202"/>
    <n v="982.60869565217342"/>
    <n v="12.1"/>
    <n v="14.9"/>
    <n v="13"/>
    <n v="69.7"/>
    <n v="2.6059999999999999"/>
    <n v="33.85"/>
    <n v="6279.9260869565196"/>
  </r>
  <r>
    <s v="FW011005"/>
    <x v="1"/>
    <x v="2"/>
    <n v="20210818"/>
    <n v="2527"/>
    <n v="842.33333333333337"/>
    <n v="2629.8489425981902"/>
    <n v="876.6163141993967"/>
    <n v="12.4"/>
    <n v="14.4"/>
    <n v="12.6"/>
    <n v="71"/>
    <n v="2.532"/>
    <n v="42.1"/>
    <n v="5156.8489425981898"/>
  </r>
  <r>
    <s v="FW011006"/>
    <x v="1"/>
    <x v="0"/>
    <n v="20210816"/>
    <n v="2999.1"/>
    <m/>
    <n v="2229.4616977225701"/>
    <m/>
    <n v="12.3"/>
    <n v="13.8"/>
    <n v="12.1"/>
    <n v="72.099999999999994"/>
    <n v="2.4159999999999999"/>
    <n v="38.619999999999997"/>
    <n v="5228.56169772257"/>
  </r>
  <r>
    <s v="FW011007"/>
    <x v="1"/>
    <x v="0"/>
    <n v="20210816"/>
    <n v="2760.4"/>
    <m/>
    <n v="2160.1898734177198"/>
    <m/>
    <n v="12.5"/>
    <n v="15.1"/>
    <n v="13.3"/>
    <n v="71.3"/>
    <n v="2.6579999999999999"/>
    <n v="40.15"/>
    <n v="4920.5898734177199"/>
  </r>
  <r>
    <s v="FW012001"/>
    <x v="1"/>
    <x v="0"/>
    <n v="20210816"/>
    <n v="2897.6"/>
    <m/>
    <n v="2732.2325581395298"/>
    <m/>
    <n v="12.4"/>
    <n v="15.5"/>
    <n v="13.6"/>
    <n v="71"/>
    <n v="2.7210000000000001"/>
    <n v="41.25"/>
    <n v="5629.8325581395302"/>
  </r>
  <r>
    <s v="FW012002"/>
    <x v="1"/>
    <x v="3"/>
    <n v="20210816"/>
    <n v="2906.3"/>
    <n v="968.76666666666677"/>
    <n v="2980.3520649966199"/>
    <n v="993.4506883322066"/>
    <n v="12.4"/>
    <n v="16.5"/>
    <n v="14.5"/>
    <n v="69.400000000000006"/>
    <n v="2.8980000000000001"/>
    <n v="41.42"/>
    <n v="5886.6520649966196"/>
  </r>
  <r>
    <s v="FW012003"/>
    <x v="1"/>
    <x v="6"/>
    <n v="20210818"/>
    <n v="3727.5"/>
    <n v="1242.5"/>
    <n v="3082.16624685139"/>
    <n v="1027.3887489504634"/>
    <n v="12.2"/>
    <n v="13.8"/>
    <n v="12.1"/>
    <n v="71.7"/>
    <n v="2.4239999999999999"/>
    <n v="38.1"/>
    <n v="6809.6662468513896"/>
  </r>
  <r>
    <s v="FW012004"/>
    <x v="1"/>
    <x v="5"/>
    <n v="20210816"/>
    <n v="3206.3"/>
    <n v="1068.7666666666667"/>
    <n v="2982.6546091015198"/>
    <n v="994.21820303383993"/>
    <n v="12.4"/>
    <n v="13.9"/>
    <n v="12.2"/>
    <n v="71.599999999999994"/>
    <n v="2.4390000000000001"/>
    <n v="40.43"/>
    <n v="6188.95460910152"/>
  </r>
  <r>
    <s v="FW012005"/>
    <x v="1"/>
    <x v="7"/>
    <n v="20210816"/>
    <n v="3333.3"/>
    <n v="1111.1000000000001"/>
    <n v="2761.8611746758202"/>
    <n v="920.62039155860668"/>
    <n v="12.2"/>
    <n v="14"/>
    <n v="12.3"/>
    <n v="70.599999999999994"/>
    <n v="2.4590000000000001"/>
    <n v="39.11"/>
    <n v="6095.1611746758199"/>
  </r>
  <r>
    <s v="FW012006"/>
    <x v="1"/>
    <x v="9"/>
    <n v="20210816"/>
    <n v="3353.6"/>
    <n v="1117.8666666666666"/>
    <n v="3021.3582166925898"/>
    <n v="1007.1194055641967"/>
    <n v="12.1"/>
    <n v="13.3"/>
    <n v="11.7"/>
    <n v="71.099999999999994"/>
    <n v="2.3319999999999999"/>
    <n v="41.05"/>
    <n v="6374.9582166925902"/>
  </r>
  <r>
    <s v="FW012007"/>
    <x v="1"/>
    <x v="0"/>
    <n v="20210816"/>
    <n v="2663.7"/>
    <m/>
    <n v="1979.9353796445901"/>
    <m/>
    <n v="12.5"/>
    <n v="15.6"/>
    <n v="13.7"/>
    <n v="70.8"/>
    <n v="2.7389999999999999"/>
    <n v="41.6"/>
    <n v="4643.6353796445901"/>
  </r>
  <r>
    <s v="FW013001"/>
    <x v="1"/>
    <x v="0"/>
    <n v="20210818"/>
    <n v="3319.5"/>
    <m/>
    <n v="2910.05217391304"/>
    <m/>
    <n v="12.4"/>
    <n v="15.8"/>
    <n v="13.8"/>
    <n v="70.400000000000006"/>
    <n v="2.7719999999999998"/>
    <n v="39.83"/>
    <n v="6229.55217391304"/>
  </r>
  <r>
    <s v="FW013002"/>
    <x v="1"/>
    <x v="4"/>
    <n v="20210818"/>
    <n v="3894.1"/>
    <n v="1298.0333333333333"/>
    <n v="2761.5652173912999"/>
    <n v="920.52173913043328"/>
    <n v="12.3"/>
    <n v="13.9"/>
    <n v="12.2"/>
    <n v="71.599999999999994"/>
    <n v="2.4369999999999998"/>
    <n v="35.26"/>
    <n v="6655.6652173912998"/>
  </r>
  <r>
    <s v="FW013003"/>
    <x v="1"/>
    <x v="1"/>
    <n v="20210816"/>
    <n v="3654.3"/>
    <n v="1218.1000000000001"/>
    <n v="3150"/>
    <n v="1050"/>
    <n v="12.3"/>
    <n v="14.8"/>
    <n v="13"/>
    <n v="71.5"/>
    <n v="2.6"/>
    <n v="40.57"/>
    <n v="6804.3"/>
  </r>
  <r>
    <s v="FW013004"/>
    <x v="1"/>
    <x v="8"/>
    <n v="20210816"/>
    <n v="3188.8"/>
    <n v="1062.9333333333334"/>
    <n v="2954.7887323943701"/>
    <n v="984.92957746478999"/>
    <n v="12.3"/>
    <n v="14.6"/>
    <n v="12.8"/>
    <n v="70.400000000000006"/>
    <n v="2.5579999999999998"/>
    <n v="36.97"/>
    <n v="6143.5887323943698"/>
  </r>
  <r>
    <s v="FW013005"/>
    <x v="1"/>
    <x v="3"/>
    <n v="20210816"/>
    <n v="3000.9"/>
    <n v="1000.3000000000001"/>
    <n v="2360.73446327684"/>
    <n v="786.91148775894669"/>
    <n v="12.5"/>
    <n v="15.9"/>
    <n v="13.9"/>
    <n v="69.3"/>
    <n v="2.7919999999999998"/>
    <n v="39.32"/>
    <n v="5361.6344632768396"/>
  </r>
  <r>
    <s v="FW013006"/>
    <x v="1"/>
    <x v="10"/>
    <n v="20210816"/>
    <n v="3354.4"/>
    <n v="1118.1333333333334"/>
    <n v="2312.29876722262"/>
    <n v="770.76625574087336"/>
    <n v="12.1"/>
    <n v="14.1"/>
    <n v="12.4"/>
    <n v="71.099999999999994"/>
    <n v="2.4700000000000002"/>
    <n v="35.75"/>
    <n v="5666.6987672226296"/>
  </r>
  <r>
    <s v="FW013007"/>
    <x v="1"/>
    <x v="0"/>
    <n v="20210816"/>
    <n v="2255.5"/>
    <m/>
    <n v="1855.8635394456301"/>
    <m/>
    <n v="12.4"/>
    <n v="15.8"/>
    <n v="13.8"/>
    <n v="71.2"/>
    <n v="2.7730000000000001"/>
    <n v="39.78"/>
    <n v="4111.3635394456296"/>
  </r>
  <r>
    <s v="FW014001"/>
    <x v="1"/>
    <x v="0"/>
    <n v="20210816"/>
    <n v="3371.2"/>
    <m/>
    <n v="2843.9597315436199"/>
    <m/>
    <n v="12.2"/>
    <n v="15.5"/>
    <n v="13.6"/>
    <n v="70.5"/>
    <n v="2.7170000000000001"/>
    <n v="39.770000000000003"/>
    <n v="6215.1597315436202"/>
  </r>
  <r>
    <s v="FW014002"/>
    <x v="1"/>
    <x v="4"/>
    <n v="20210818"/>
    <n v="3758.3"/>
    <n v="1252.7666666666667"/>
    <n v="2317.8114086146702"/>
    <n v="772.6038028715567"/>
    <n v="12.4"/>
    <n v="13.9"/>
    <n v="12.2"/>
    <n v="72.099999999999994"/>
    <n v="2.4350000000000001"/>
    <n v="34.44"/>
    <n v="6076.1114086146699"/>
  </r>
  <r>
    <s v="FW014003"/>
    <x v="1"/>
    <x v="6"/>
    <n v="20210816"/>
    <n v="3424.5"/>
    <n v="1141.5"/>
    <n v="2820.3345070422502"/>
    <n v="940.11150234741672"/>
    <n v="12.2"/>
    <n v="13.8"/>
    <n v="12.1"/>
    <n v="71.8"/>
    <n v="2.4169999999999998"/>
    <n v="36.729999999999997"/>
    <n v="6244.8345070422502"/>
  </r>
  <r>
    <s v="FW014004"/>
    <x v="1"/>
    <x v="8"/>
    <n v="20210816"/>
    <n v="2701.3"/>
    <n v="900.43333333333339"/>
    <n v="2388.9570552147202"/>
    <n v="796.31901840490673"/>
    <n v="12.2"/>
    <n v="13.7"/>
    <n v="12"/>
    <n v="71.5"/>
    <n v="2.4039999999999999"/>
    <n v="36.78"/>
    <n v="5090.2570552147199"/>
  </r>
  <r>
    <s v="FW014005"/>
    <x v="1"/>
    <x v="5"/>
    <n v="20210816"/>
    <n v="3394.1"/>
    <n v="1131.3666666666666"/>
    <n v="1836.2082262210799"/>
    <n v="612.06940874036002"/>
    <n v="12.5"/>
    <n v="15.1"/>
    <n v="13.3"/>
    <n v="70.599999999999994"/>
    <n v="2.657"/>
    <n v="41.67"/>
    <n v="5230.3082262210801"/>
  </r>
  <r>
    <s v="FW014006"/>
    <x v="1"/>
    <x v="1"/>
    <n v="20210816"/>
    <n v="3396.5"/>
    <n v="1132.1666666666667"/>
    <n v="2823.2826747720401"/>
    <n v="941.09422492401336"/>
    <n v="12.4"/>
    <n v="14.4"/>
    <n v="12.6"/>
    <n v="71.900000000000006"/>
    <n v="2.5249999999999999"/>
    <n v="41.54"/>
    <n v="6219.7826747720401"/>
  </r>
  <r>
    <s v="FW014007"/>
    <x v="1"/>
    <x v="0"/>
    <n v="20210816"/>
    <n v="2487"/>
    <m/>
    <n v="2145.1149825784"/>
    <m/>
    <n v="12.4"/>
    <n v="15.8"/>
    <n v="13.8"/>
    <n v="70.3"/>
    <n v="2.7639999999999998"/>
    <n v="41.78"/>
    <n v="4632.1149825783996"/>
  </r>
  <r>
    <s v="FW015001"/>
    <x v="1"/>
    <x v="0"/>
    <n v="20210816"/>
    <n v="3555.9"/>
    <m/>
    <n v="2856.4519056261302"/>
    <m/>
    <n v="12.4"/>
    <n v="15.5"/>
    <n v="13.5"/>
    <n v="71.3"/>
    <n v="2.7120000000000002"/>
    <n v="39.82"/>
    <n v="6412.3519056261302"/>
  </r>
  <r>
    <s v="FW015002"/>
    <x v="1"/>
    <x v="2"/>
    <n v="20210816"/>
    <n v="3544.9"/>
    <n v="1181.6333333333334"/>
    <n v="3099.61722488038"/>
    <n v="1033.2057416267933"/>
    <n v="12.2"/>
    <n v="15.9"/>
    <n v="14"/>
    <n v="70.5"/>
    <n v="2.7959999999999998"/>
    <n v="38.619999999999997"/>
    <n v="6644.5172248803801"/>
  </r>
  <r>
    <s v="FW015003"/>
    <x v="1"/>
    <x v="9"/>
    <n v="20210816"/>
    <n v="3482.6"/>
    <n v="1160.8666666666666"/>
    <n v="2998.3106796116499"/>
    <n v="999.4368932038833"/>
    <n v="12.2"/>
    <n v="14"/>
    <n v="12.3"/>
    <n v="70.7"/>
    <n v="2.4620000000000002"/>
    <n v="40.840000000000003"/>
    <n v="6480.9106796116503"/>
  </r>
  <r>
    <s v="FW015004"/>
    <x v="1"/>
    <x v="7"/>
    <n v="20210816"/>
    <n v="3423.3"/>
    <n v="1141.1000000000001"/>
    <n v="2866.95652173913"/>
    <n v="955.65217391304338"/>
    <n v="12.3"/>
    <n v="13.1"/>
    <n v="11.5"/>
    <n v="71.3"/>
    <n v="2.2970000000000002"/>
    <n v="40.520000000000003"/>
    <n v="6290.2565217391302"/>
  </r>
  <r>
    <s v="FW015005"/>
    <x v="1"/>
    <x v="4"/>
    <n v="20210816"/>
    <n v="3554.1"/>
    <n v="1184.7"/>
    <n v="2706.3025830258298"/>
    <n v="902.10086100860997"/>
    <n v="12.3"/>
    <n v="12.9"/>
    <n v="11.3"/>
    <n v="72.7"/>
    <n v="2.266"/>
    <n v="36.49"/>
    <n v="6260.4025830258297"/>
  </r>
  <r>
    <s v="FW015006"/>
    <x v="1"/>
    <x v="5"/>
    <n v="20210818"/>
    <m/>
    <n v="0"/>
    <n v="941.35135135135101"/>
    <n v="313.78378378378369"/>
    <n v="12.7"/>
    <n v="14.8"/>
    <n v="13"/>
    <n v="70.7"/>
    <n v="2.6019999999999999"/>
    <n v="41.65"/>
    <m/>
  </r>
  <r>
    <s v="FW015007"/>
    <x v="1"/>
    <x v="0"/>
    <n v="20210818"/>
    <n v="2132.9"/>
    <m/>
    <n v="1812.25985563576"/>
    <m/>
    <n v="12.5"/>
    <n v="15.6"/>
    <n v="13.7"/>
    <n v="70.3"/>
    <n v="2.7410000000000001"/>
    <n v="40.69"/>
    <n v="3945.1598556357599"/>
  </r>
  <r>
    <s v="FW016001"/>
    <x v="1"/>
    <x v="0"/>
    <n v="20210816"/>
    <n v="3368.1"/>
    <m/>
    <n v="2219.4989224137898"/>
    <m/>
    <n v="12.3"/>
    <n v="15.5"/>
    <n v="13.6"/>
    <n v="71.900000000000006"/>
    <n v="2.726"/>
    <n v="41.29"/>
    <n v="5587.5989224137902"/>
  </r>
  <r>
    <s v="FW016002"/>
    <x v="1"/>
    <x v="7"/>
    <n v="20210816"/>
    <n v="3395"/>
    <n v="1131.6666666666667"/>
    <n v="3201.22549019608"/>
    <n v="1067.0751633986933"/>
    <n v="12.4"/>
    <n v="15.1"/>
    <n v="13.2"/>
    <n v="70.599999999999994"/>
    <n v="2.6520000000000001"/>
    <n v="35.409999999999997"/>
    <n v="6596.2254901960796"/>
  </r>
  <r>
    <s v="FW016003"/>
    <x v="1"/>
    <x v="1"/>
    <n v="20210818"/>
    <n v="3571.7"/>
    <n v="1190.5666666666666"/>
    <n v="2974.9473684210502"/>
    <n v="991.64912280701674"/>
    <n v="12.3"/>
    <n v="14.9"/>
    <n v="13"/>
    <n v="70.8"/>
    <n v="2.605"/>
    <n v="37.18"/>
    <n v="6546.6473684210496"/>
  </r>
  <r>
    <s v="FW016004"/>
    <x v="1"/>
    <x v="3"/>
    <n v="20210816"/>
    <n v="3208.7"/>
    <n v="1069.5666666666666"/>
    <n v="2593.24624428478"/>
    <n v="864.4154147615933"/>
    <n v="12.6"/>
    <n v="13.9"/>
    <n v="12.2"/>
    <n v="71.3"/>
    <n v="2.4390000000000001"/>
    <n v="41.45"/>
    <n v="5801.9462442847798"/>
  </r>
  <r>
    <s v="FW016005"/>
    <x v="1"/>
    <x v="2"/>
    <n v="20210816"/>
    <n v="3311"/>
    <n v="1103.6666666666667"/>
    <n v="2648.2863849765299"/>
    <n v="882.76212832550993"/>
    <n v="12.3"/>
    <n v="14.7"/>
    <n v="12.9"/>
    <n v="70.599999999999994"/>
    <n v="2.585"/>
    <n v="42.79"/>
    <n v="5959.2863849765299"/>
  </r>
  <r>
    <s v="FW016006"/>
    <x v="1"/>
    <x v="8"/>
    <n v="20210816"/>
    <n v="3718"/>
    <n v="1239.3333333333333"/>
    <n v="3089.5641344956398"/>
    <n v="1029.8547114985465"/>
    <n v="12.4"/>
    <n v="14.5"/>
    <n v="12.7"/>
    <n v="71.2"/>
    <n v="2.5390000000000001"/>
    <n v="40.65"/>
    <n v="6807.5641344956402"/>
  </r>
  <r>
    <s v="FW016007"/>
    <x v="1"/>
    <x v="0"/>
    <n v="20210818"/>
    <n v="2013.5"/>
    <m/>
    <n v="1933.51093662367"/>
    <m/>
    <n v="12.5"/>
    <n v="15.6"/>
    <n v="13.7"/>
    <n v="70.5"/>
    <n v="2.7410000000000001"/>
    <n v="37.67"/>
    <n v="3947.0109366236702"/>
  </r>
  <r>
    <s v="FW017001"/>
    <x v="1"/>
    <x v="0"/>
    <n v="20210816"/>
    <n v="3086.6"/>
    <m/>
    <n v="2265.2912621359201"/>
    <m/>
    <n v="12.3"/>
    <n v="15.2"/>
    <n v="13.3"/>
    <n v="71.8"/>
    <n v="2.669"/>
    <n v="42.17"/>
    <n v="5351.8912621359204"/>
  </r>
  <r>
    <s v="FW017002"/>
    <x v="1"/>
    <x v="0"/>
    <n v="20210816"/>
    <n v="3536.5"/>
    <m/>
    <n v="2913.0521091811402"/>
    <m/>
    <n v="12.5"/>
    <n v="15.2"/>
    <n v="13.3"/>
    <n v="71.400000000000006"/>
    <n v="2.6720000000000002"/>
    <n v="39.94"/>
    <n v="6449.5521091811397"/>
  </r>
  <r>
    <s v="FW017003"/>
    <x v="1"/>
    <x v="9"/>
    <n v="20210816"/>
    <n v="3751.4"/>
    <n v="1250.4666666666667"/>
    <n v="2667.7285318559598"/>
    <n v="889.24284395198663"/>
    <n v="12.2"/>
    <n v="13.4"/>
    <n v="11.8"/>
    <n v="71.2"/>
    <n v="2.351"/>
    <n v="43.44"/>
    <n v="6419.1285318559603"/>
  </r>
  <r>
    <s v="FW017004"/>
    <x v="1"/>
    <x v="10"/>
    <n v="20210816"/>
    <n v="3453.4"/>
    <n v="1151.1333333333334"/>
    <n v="3089.0335846470198"/>
    <n v="1029.6778615490066"/>
    <n v="12.3"/>
    <n v="13.9"/>
    <n v="12.2"/>
    <n v="70.400000000000006"/>
    <n v="2.444"/>
    <n v="34.75"/>
    <n v="6542.4335846470203"/>
  </r>
  <r>
    <s v="FW017005"/>
    <x v="1"/>
    <x v="6"/>
    <n v="20210816"/>
    <n v="3537.5"/>
    <n v="1179.1666666666667"/>
    <n v="2642.5285810356399"/>
    <n v="880.84286034521335"/>
    <n v="12.4"/>
    <n v="13.8"/>
    <n v="12.1"/>
    <n v="72.099999999999994"/>
    <n v="2.4249999999999998"/>
    <n v="38.25"/>
    <n v="6180.0285810356399"/>
  </r>
  <r>
    <s v="FW017006"/>
    <x v="1"/>
    <x v="0"/>
    <n v="20210816"/>
    <n v="3211.2"/>
    <m/>
    <n v="2610.59602649007"/>
    <m/>
    <n v="12.3"/>
    <n v="14.6"/>
    <n v="12.8"/>
    <n v="71.900000000000006"/>
    <n v="2.569"/>
    <n v="40.83"/>
    <n v="5821.7960264900703"/>
  </r>
  <r>
    <s v="FW017007"/>
    <x v="1"/>
    <x v="0"/>
    <n v="20210816"/>
    <n v="2810.7"/>
    <m/>
    <n v="2298.0645161290299"/>
    <m/>
    <n v="12.2"/>
    <n v="15.6"/>
    <n v="13.7"/>
    <n v="70.400000000000006"/>
    <n v="2.7410000000000001"/>
    <n v="39.36"/>
    <n v="5108.7645161290302"/>
  </r>
  <r>
    <s v="FW018001"/>
    <x v="1"/>
    <x v="0"/>
    <n v="20210818"/>
    <n v="3945"/>
    <m/>
    <n v="3150.9711538461502"/>
    <m/>
    <n v="12.4"/>
    <n v="15.4"/>
    <n v="13.5"/>
    <n v="70.8"/>
    <n v="2.6970000000000001"/>
    <n v="39.46"/>
    <n v="7095.9711538461497"/>
  </r>
  <r>
    <s v="FW018002"/>
    <x v="1"/>
    <x v="0"/>
    <n v="20210818"/>
    <n v="3562.1"/>
    <m/>
    <n v="3057.8808864265902"/>
    <m/>
    <n v="12.5"/>
    <n v="14.5"/>
    <n v="12.7"/>
    <n v="71.599999999999994"/>
    <n v="2.5369999999999999"/>
    <n v="39.76"/>
    <n v="6619.9808864265897"/>
  </r>
  <r>
    <s v="FW018003"/>
    <x v="1"/>
    <x v="0"/>
    <n v="20210816"/>
    <n v="3161"/>
    <m/>
    <n v="2378.7400318979298"/>
    <m/>
    <n v="12.3"/>
    <n v="15.2"/>
    <n v="13.4"/>
    <n v="71.099999999999994"/>
    <n v="2.6720000000000002"/>
    <n v="39.85"/>
    <n v="5539.7400318979298"/>
  </r>
  <r>
    <s v="FW018004"/>
    <x v="1"/>
    <x v="0"/>
    <n v="20210816"/>
    <n v="3070.7"/>
    <m/>
    <n v="2436.5714285714298"/>
    <m/>
    <n v="12.3"/>
    <n v="14.7"/>
    <n v="12.9"/>
    <n v="71.5"/>
    <n v="2.5840000000000001"/>
    <n v="39.26"/>
    <n v="5507.2714285714301"/>
  </r>
  <r>
    <s v="FW018005"/>
    <x v="1"/>
    <x v="0"/>
    <n v="20210816"/>
    <n v="2852.5"/>
    <m/>
    <n v="2151.9909502262399"/>
    <m/>
    <n v="12.4"/>
    <n v="16"/>
    <n v="14"/>
    <n v="70.7"/>
    <n v="2.8090000000000002"/>
    <n v="39.33"/>
    <n v="5004.4909502262399"/>
  </r>
  <r>
    <s v="FW018006"/>
    <x v="1"/>
    <x v="0"/>
    <n v="20210816"/>
    <n v="3526.6"/>
    <m/>
    <n v="2770.5882352941198"/>
    <m/>
    <n v="12.4"/>
    <n v="14.4"/>
    <n v="12.6"/>
    <n v="71.900000000000006"/>
    <n v="2.5219999999999998"/>
    <n v="40.090000000000003"/>
    <n v="6297.1882352941202"/>
  </r>
  <r>
    <s v="FW018007"/>
    <x v="1"/>
    <x v="0"/>
    <n v="20210818"/>
    <n v="2759.9"/>
    <m/>
    <n v="1941.3880126183001"/>
    <m/>
    <n v="12.4"/>
    <n v="15.6"/>
    <n v="13.6"/>
    <n v="70.599999999999994"/>
    <n v="2.7309999999999999"/>
    <n v="38.69"/>
    <n v="4701.2880126182999"/>
  </r>
  <r>
    <m/>
    <x v="2"/>
    <x v="11"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5D62C4-55C6-9940-B354-F69304D14662}" name="PivotTable1" cacheId="78" applyNumberFormats="0" applyBorderFormats="0" applyFontFormats="0" applyPatternFormats="0" applyAlignmentFormats="0" applyWidthHeightFormats="1" dataCaption="Values" updatedVersion="6" minRefreshableVersion="3" useAutoFormatting="1" itemPrintTitles="1" createdVersion="7" indent="0" outline="1" outlineData="1" multipleFieldFilters="0">
  <location ref="A3:E17" firstHeaderRow="1" firstDataRow="2" firstDataCol="1"/>
  <pivotFields count="15">
    <pivotField showAll="0"/>
    <pivotField axis="axisCol" showAll="0">
      <items count="4">
        <item x="0"/>
        <item x="1"/>
        <item x="2"/>
        <item t="default"/>
      </items>
    </pivotField>
    <pivotField axis="axisRow" showAll="0">
      <items count="13">
        <item x="2"/>
        <item x="6"/>
        <item x="4"/>
        <item x="8"/>
        <item x="7"/>
        <item x="9"/>
        <item x="3"/>
        <item x="10"/>
        <item x="5"/>
        <item x="1"/>
        <item x="0"/>
        <item x="1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Mittelwert von Yield_per_m2" fld="5" subtotal="average" baseField="2" baseItem="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127"/>
  <sheetViews>
    <sheetView tabSelected="1" workbookViewId="0">
      <selection activeCell="F18" sqref="F18"/>
    </sheetView>
  </sheetViews>
  <sheetFormatPr baseColWidth="10" defaultRowHeight="15" x14ac:dyDescent="0.25"/>
  <cols>
    <col min="16" max="17" width="23" style="4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156</v>
      </c>
      <c r="G1" t="s">
        <v>5</v>
      </c>
      <c r="H1" t="s">
        <v>157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s="4" t="s">
        <v>152</v>
      </c>
      <c r="Q1" s="4" t="s">
        <v>153</v>
      </c>
    </row>
    <row r="2" spans="1:17" hidden="1" x14ac:dyDescent="0.25">
      <c r="A2" t="s">
        <v>13</v>
      </c>
      <c r="B2" t="s">
        <v>14</v>
      </c>
      <c r="C2" t="s">
        <v>15</v>
      </c>
      <c r="D2">
        <v>20210818</v>
      </c>
      <c r="E2">
        <v>3138.7</v>
      </c>
      <c r="G2">
        <v>1999.7395348837199</v>
      </c>
      <c r="I2">
        <v>12.6</v>
      </c>
      <c r="J2">
        <v>15.2</v>
      </c>
      <c r="K2">
        <v>13.2</v>
      </c>
      <c r="L2">
        <v>71.400000000000006</v>
      </c>
      <c r="M2">
        <v>2.6589999999999998</v>
      </c>
      <c r="N2">
        <v>40.93</v>
      </c>
      <c r="O2">
        <v>5138.4395348837197</v>
      </c>
      <c r="P2" s="5">
        <v>371</v>
      </c>
      <c r="Q2" s="5">
        <v>420</v>
      </c>
    </row>
    <row r="3" spans="1:17" hidden="1" x14ac:dyDescent="0.25">
      <c r="A3" t="s">
        <v>16</v>
      </c>
      <c r="B3" t="s">
        <v>14</v>
      </c>
      <c r="C3" t="s">
        <v>15</v>
      </c>
      <c r="D3">
        <v>20210816</v>
      </c>
      <c r="E3">
        <v>3346</v>
      </c>
      <c r="G3">
        <v>2270.0811359026402</v>
      </c>
      <c r="I3">
        <v>12.4</v>
      </c>
      <c r="J3">
        <v>13.7</v>
      </c>
      <c r="K3">
        <v>12</v>
      </c>
      <c r="L3">
        <v>71.900000000000006</v>
      </c>
      <c r="M3">
        <v>2.4119999999999999</v>
      </c>
      <c r="N3">
        <v>41.65</v>
      </c>
      <c r="O3">
        <v>5616.0811359026402</v>
      </c>
      <c r="P3" s="5">
        <v>822</v>
      </c>
      <c r="Q3" s="5">
        <v>822</v>
      </c>
    </row>
    <row r="4" spans="1:17" hidden="1" x14ac:dyDescent="0.25">
      <c r="A4" t="s">
        <v>17</v>
      </c>
      <c r="B4" t="s">
        <v>14</v>
      </c>
      <c r="C4" t="s">
        <v>15</v>
      </c>
      <c r="D4">
        <v>20210816</v>
      </c>
      <c r="E4">
        <v>3093.1</v>
      </c>
      <c r="G4">
        <v>1630.75</v>
      </c>
      <c r="I4">
        <v>12.4</v>
      </c>
      <c r="J4">
        <v>14.9</v>
      </c>
      <c r="K4">
        <v>13</v>
      </c>
      <c r="L4">
        <v>71.3</v>
      </c>
      <c r="M4">
        <v>2.6139999999999999</v>
      </c>
      <c r="N4">
        <v>39.840000000000003</v>
      </c>
      <c r="O4">
        <v>4723.8500000000004</v>
      </c>
      <c r="P4" s="5">
        <v>864</v>
      </c>
      <c r="Q4" s="5">
        <v>882</v>
      </c>
    </row>
    <row r="5" spans="1:17" hidden="1" x14ac:dyDescent="0.25">
      <c r="A5" t="s">
        <v>18</v>
      </c>
      <c r="B5" t="s">
        <v>14</v>
      </c>
      <c r="C5" t="s">
        <v>15</v>
      </c>
      <c r="D5">
        <v>20210816</v>
      </c>
      <c r="E5">
        <v>3336</v>
      </c>
      <c r="G5">
        <v>2271.12283345893</v>
      </c>
      <c r="I5">
        <v>12.3</v>
      </c>
      <c r="J5">
        <v>13.2</v>
      </c>
      <c r="K5">
        <v>11.6</v>
      </c>
      <c r="L5">
        <v>72.099999999999994</v>
      </c>
      <c r="M5">
        <v>2.3140000000000001</v>
      </c>
      <c r="N5">
        <v>40.85</v>
      </c>
      <c r="O5">
        <v>5607.1228334589296</v>
      </c>
      <c r="P5" s="5">
        <v>900</v>
      </c>
      <c r="Q5" s="5">
        <v>900</v>
      </c>
    </row>
    <row r="6" spans="1:17" hidden="1" x14ac:dyDescent="0.25">
      <c r="A6" t="s">
        <v>19</v>
      </c>
      <c r="B6" t="s">
        <v>14</v>
      </c>
      <c r="C6" t="s">
        <v>15</v>
      </c>
      <c r="D6">
        <v>20210816</v>
      </c>
      <c r="E6">
        <v>3396.5</v>
      </c>
      <c r="G6">
        <v>2382.7224669603502</v>
      </c>
      <c r="I6">
        <v>12.5</v>
      </c>
      <c r="J6">
        <v>12.9</v>
      </c>
      <c r="K6">
        <v>11.3</v>
      </c>
      <c r="L6">
        <v>72.599999999999994</v>
      </c>
      <c r="M6">
        <v>2.2610000000000001</v>
      </c>
      <c r="N6">
        <v>40.31</v>
      </c>
      <c r="O6">
        <v>5779.2224669603502</v>
      </c>
      <c r="P6" s="5">
        <v>900</v>
      </c>
      <c r="Q6" s="5">
        <v>900</v>
      </c>
    </row>
    <row r="7" spans="1:17" hidden="1" x14ac:dyDescent="0.25">
      <c r="A7" t="s">
        <v>20</v>
      </c>
      <c r="B7" t="s">
        <v>14</v>
      </c>
      <c r="C7" t="s">
        <v>15</v>
      </c>
      <c r="D7">
        <v>20210816</v>
      </c>
      <c r="E7">
        <v>3094.8</v>
      </c>
      <c r="G7">
        <v>2225.8223684210502</v>
      </c>
      <c r="I7">
        <v>12.4</v>
      </c>
      <c r="J7">
        <v>13.7</v>
      </c>
      <c r="K7">
        <v>12</v>
      </c>
      <c r="L7">
        <v>71.5</v>
      </c>
      <c r="M7">
        <v>2.4079999999999999</v>
      </c>
      <c r="N7">
        <v>38.9</v>
      </c>
      <c r="O7">
        <v>5320.6223684210499</v>
      </c>
      <c r="P7" s="5">
        <v>876</v>
      </c>
      <c r="Q7" s="5">
        <v>876</v>
      </c>
    </row>
    <row r="8" spans="1:17" hidden="1" x14ac:dyDescent="0.25">
      <c r="A8" t="s">
        <v>21</v>
      </c>
      <c r="B8" t="s">
        <v>14</v>
      </c>
      <c r="C8" t="s">
        <v>15</v>
      </c>
      <c r="D8">
        <v>20210816</v>
      </c>
      <c r="E8">
        <v>2938.4</v>
      </c>
      <c r="G8">
        <v>1926.8181818181799</v>
      </c>
      <c r="I8">
        <v>12.4</v>
      </c>
      <c r="J8">
        <v>14.9</v>
      </c>
      <c r="K8">
        <v>13.1</v>
      </c>
      <c r="L8">
        <v>71.599999999999994</v>
      </c>
      <c r="M8">
        <v>2.6190000000000002</v>
      </c>
      <c r="N8">
        <v>39.369999999999997</v>
      </c>
      <c r="O8">
        <v>4865.2181818181798</v>
      </c>
      <c r="P8" s="5">
        <v>433.6</v>
      </c>
      <c r="Q8" s="5">
        <v>433.6</v>
      </c>
    </row>
    <row r="9" spans="1:17" hidden="1" x14ac:dyDescent="0.25">
      <c r="A9" t="s">
        <v>22</v>
      </c>
      <c r="B9" t="s">
        <v>14</v>
      </c>
      <c r="C9" t="s">
        <v>15</v>
      </c>
      <c r="D9">
        <v>20210816</v>
      </c>
      <c r="E9">
        <v>3266.5</v>
      </c>
      <c r="G9">
        <v>2206.25</v>
      </c>
      <c r="I9">
        <v>12.3</v>
      </c>
      <c r="J9">
        <v>15.3</v>
      </c>
      <c r="K9">
        <v>13.4</v>
      </c>
      <c r="L9">
        <v>71.099999999999994</v>
      </c>
      <c r="M9">
        <v>2.677</v>
      </c>
      <c r="N9">
        <v>40.049999999999997</v>
      </c>
      <c r="O9">
        <v>5472.75</v>
      </c>
      <c r="P9" s="5">
        <v>392</v>
      </c>
      <c r="Q9" s="5">
        <v>445.2</v>
      </c>
    </row>
    <row r="10" spans="1:17" hidden="1" x14ac:dyDescent="0.25">
      <c r="A10" t="s">
        <v>23</v>
      </c>
      <c r="B10" t="s">
        <v>14</v>
      </c>
      <c r="C10" t="s">
        <v>15</v>
      </c>
      <c r="D10">
        <v>20210816</v>
      </c>
      <c r="E10">
        <v>3492.2</v>
      </c>
      <c r="G10">
        <v>2407.0611835506502</v>
      </c>
      <c r="I10">
        <v>12.5</v>
      </c>
      <c r="J10">
        <v>13.8</v>
      </c>
      <c r="K10">
        <v>12.1</v>
      </c>
      <c r="L10">
        <v>72.8</v>
      </c>
      <c r="M10">
        <v>2.419</v>
      </c>
      <c r="N10">
        <v>42.92</v>
      </c>
      <c r="O10">
        <v>5899.2611835506495</v>
      </c>
      <c r="P10" s="5">
        <v>972</v>
      </c>
      <c r="Q10" s="5">
        <v>972</v>
      </c>
    </row>
    <row r="11" spans="1:17" x14ac:dyDescent="0.25">
      <c r="A11" t="s">
        <v>24</v>
      </c>
      <c r="B11" t="s">
        <v>14</v>
      </c>
      <c r="C11" t="s">
        <v>25</v>
      </c>
      <c r="D11">
        <v>20210816</v>
      </c>
      <c r="E11">
        <v>3288.7</v>
      </c>
      <c r="F11">
        <f>E11/3</f>
        <v>1096.2333333333333</v>
      </c>
      <c r="G11">
        <v>2707.1375464684002</v>
      </c>
      <c r="H11">
        <f>G11/3</f>
        <v>902.37918215613342</v>
      </c>
      <c r="I11">
        <v>12.3</v>
      </c>
      <c r="J11">
        <v>14.5</v>
      </c>
      <c r="K11">
        <v>12.7</v>
      </c>
      <c r="L11">
        <v>71.5</v>
      </c>
      <c r="M11">
        <v>2.5470000000000002</v>
      </c>
      <c r="N11">
        <v>40.53</v>
      </c>
      <c r="O11">
        <v>5995.8375464684004</v>
      </c>
      <c r="P11" s="5">
        <v>858</v>
      </c>
      <c r="Q11" s="5">
        <v>858</v>
      </c>
    </row>
    <row r="12" spans="1:17" x14ac:dyDescent="0.25">
      <c r="A12" t="s">
        <v>26</v>
      </c>
      <c r="B12" t="s">
        <v>14</v>
      </c>
      <c r="C12" t="s">
        <v>27</v>
      </c>
      <c r="D12">
        <v>20210818</v>
      </c>
      <c r="E12">
        <v>2979.6</v>
      </c>
      <c r="F12">
        <f t="shared" ref="F12:F13" si="0">E12/3</f>
        <v>993.19999999999993</v>
      </c>
      <c r="G12">
        <v>2095.19447287615</v>
      </c>
      <c r="H12">
        <f t="shared" ref="H12:H13" si="1">G12/3</f>
        <v>698.39815762538331</v>
      </c>
      <c r="I12">
        <v>12.4</v>
      </c>
      <c r="J12">
        <v>13.3</v>
      </c>
      <c r="K12">
        <v>11.6</v>
      </c>
      <c r="L12">
        <v>72</v>
      </c>
      <c r="M12">
        <v>2.33</v>
      </c>
      <c r="N12">
        <v>44.82</v>
      </c>
      <c r="O12">
        <v>5074.7944728761504</v>
      </c>
      <c r="P12" s="5">
        <v>1011.0000000000001</v>
      </c>
      <c r="Q12" s="5">
        <v>1013.9999999999999</v>
      </c>
    </row>
    <row r="13" spans="1:17" x14ac:dyDescent="0.25">
      <c r="A13" t="s">
        <v>28</v>
      </c>
      <c r="B13" t="s">
        <v>14</v>
      </c>
      <c r="C13" t="s">
        <v>29</v>
      </c>
      <c r="D13">
        <v>20210816</v>
      </c>
      <c r="E13">
        <v>3170.5</v>
      </c>
      <c r="F13">
        <f t="shared" si="0"/>
        <v>1056.8333333333333</v>
      </c>
      <c r="G13">
        <v>2311.1200644641399</v>
      </c>
      <c r="H13">
        <f t="shared" si="1"/>
        <v>770.37335482137996</v>
      </c>
      <c r="I13">
        <v>12.5</v>
      </c>
      <c r="J13">
        <v>14.1</v>
      </c>
      <c r="K13">
        <v>12.4</v>
      </c>
      <c r="L13">
        <v>71.2</v>
      </c>
      <c r="M13">
        <v>2.48</v>
      </c>
      <c r="N13">
        <v>41.54</v>
      </c>
      <c r="O13">
        <v>5481.6200644641403</v>
      </c>
      <c r="P13" s="5">
        <v>987</v>
      </c>
      <c r="Q13" s="5">
        <v>987</v>
      </c>
    </row>
    <row r="14" spans="1:17" hidden="1" x14ac:dyDescent="0.25">
      <c r="A14" t="s">
        <v>30</v>
      </c>
      <c r="B14" t="s">
        <v>14</v>
      </c>
      <c r="C14" t="s">
        <v>15</v>
      </c>
      <c r="D14">
        <v>20210816</v>
      </c>
      <c r="E14">
        <v>3025.7</v>
      </c>
      <c r="G14">
        <v>2313.4628730048598</v>
      </c>
      <c r="I14">
        <v>12.4</v>
      </c>
      <c r="J14">
        <v>13.3</v>
      </c>
      <c r="K14">
        <v>11.6</v>
      </c>
      <c r="L14">
        <v>72</v>
      </c>
      <c r="M14">
        <v>2.3290000000000002</v>
      </c>
      <c r="N14">
        <v>39.51</v>
      </c>
      <c r="O14">
        <v>5339.1628730048596</v>
      </c>
      <c r="P14" s="5">
        <v>909</v>
      </c>
      <c r="Q14" s="5">
        <v>998.99999999999989</v>
      </c>
    </row>
    <row r="15" spans="1:17" hidden="1" x14ac:dyDescent="0.25">
      <c r="A15" t="s">
        <v>31</v>
      </c>
      <c r="B15" t="s">
        <v>14</v>
      </c>
      <c r="C15" t="s">
        <v>15</v>
      </c>
      <c r="D15">
        <v>20210816</v>
      </c>
      <c r="E15">
        <v>2718.1</v>
      </c>
      <c r="G15">
        <v>1906.89356435644</v>
      </c>
      <c r="I15">
        <v>12.3</v>
      </c>
      <c r="J15">
        <v>14.4</v>
      </c>
      <c r="K15">
        <v>12.7</v>
      </c>
      <c r="L15">
        <v>72</v>
      </c>
      <c r="M15">
        <v>2.5329999999999999</v>
      </c>
      <c r="N15">
        <v>39.47</v>
      </c>
      <c r="O15">
        <v>4624.9935643564404</v>
      </c>
      <c r="P15" s="5">
        <v>419.2</v>
      </c>
      <c r="Q15" s="5">
        <v>419.2</v>
      </c>
    </row>
    <row r="16" spans="1:17" hidden="1" x14ac:dyDescent="0.25">
      <c r="A16" t="s">
        <v>32</v>
      </c>
      <c r="B16" t="s">
        <v>14</v>
      </c>
      <c r="C16" t="s">
        <v>15</v>
      </c>
      <c r="D16">
        <v>20210816</v>
      </c>
      <c r="E16">
        <v>3308.4</v>
      </c>
      <c r="G16">
        <v>2364.4583987441101</v>
      </c>
      <c r="I16">
        <v>12.3</v>
      </c>
      <c r="J16">
        <v>15.2</v>
      </c>
      <c r="K16">
        <v>13.3</v>
      </c>
      <c r="L16">
        <v>70.900000000000006</v>
      </c>
      <c r="M16">
        <v>2.6680000000000001</v>
      </c>
      <c r="N16">
        <v>41.79</v>
      </c>
      <c r="O16">
        <v>5672.8583987441098</v>
      </c>
      <c r="P16" s="5">
        <v>397.59999999999997</v>
      </c>
      <c r="Q16" s="5">
        <v>400.40000000000003</v>
      </c>
    </row>
    <row r="17" spans="1:17" x14ac:dyDescent="0.25">
      <c r="A17" t="s">
        <v>33</v>
      </c>
      <c r="B17" t="s">
        <v>14</v>
      </c>
      <c r="C17" t="s">
        <v>34</v>
      </c>
      <c r="D17">
        <v>20210816</v>
      </c>
      <c r="E17">
        <v>3486.6</v>
      </c>
      <c r="F17">
        <f t="shared" ref="F17:F21" si="2">E17/3</f>
        <v>1162.2</v>
      </c>
      <c r="G17">
        <v>2418.31665685697</v>
      </c>
      <c r="H17">
        <f t="shared" ref="H17:H21" si="3">G17/3</f>
        <v>806.1055522856567</v>
      </c>
      <c r="I17">
        <v>12.6</v>
      </c>
      <c r="J17">
        <v>13.1</v>
      </c>
      <c r="K17">
        <v>11.5</v>
      </c>
      <c r="L17">
        <v>73</v>
      </c>
      <c r="M17">
        <v>2.2999999999999998</v>
      </c>
      <c r="N17">
        <v>38.51</v>
      </c>
      <c r="O17">
        <v>5904.9166568569699</v>
      </c>
      <c r="P17" s="5">
        <v>801</v>
      </c>
      <c r="Q17" s="5">
        <v>801</v>
      </c>
    </row>
    <row r="18" spans="1:17" x14ac:dyDescent="0.25">
      <c r="A18" t="s">
        <v>35</v>
      </c>
      <c r="B18" t="s">
        <v>14</v>
      </c>
      <c r="C18" t="s">
        <v>36</v>
      </c>
      <c r="D18">
        <v>20210818</v>
      </c>
      <c r="E18">
        <v>3028.5</v>
      </c>
      <c r="F18">
        <f t="shared" si="2"/>
        <v>1009.5</v>
      </c>
      <c r="G18">
        <v>2574.9060272196998</v>
      </c>
      <c r="H18">
        <f t="shared" si="3"/>
        <v>858.30200907323331</v>
      </c>
      <c r="I18">
        <v>12.4</v>
      </c>
      <c r="J18">
        <v>14.8</v>
      </c>
      <c r="K18">
        <v>13</v>
      </c>
      <c r="L18">
        <v>70.900000000000006</v>
      </c>
      <c r="M18">
        <v>2.6030000000000002</v>
      </c>
      <c r="N18">
        <v>42.13</v>
      </c>
      <c r="O18">
        <v>5603.4060272197003</v>
      </c>
      <c r="P18" s="5">
        <v>912</v>
      </c>
      <c r="Q18" s="5">
        <v>912</v>
      </c>
    </row>
    <row r="19" spans="1:17" x14ac:dyDescent="0.25">
      <c r="A19" t="s">
        <v>37</v>
      </c>
      <c r="B19" t="s">
        <v>14</v>
      </c>
      <c r="C19" t="s">
        <v>38</v>
      </c>
      <c r="D19">
        <v>20210818</v>
      </c>
      <c r="E19">
        <v>3177.4</v>
      </c>
      <c r="F19">
        <f t="shared" si="2"/>
        <v>1059.1333333333334</v>
      </c>
      <c r="G19">
        <v>2101.4147431124302</v>
      </c>
      <c r="H19">
        <f t="shared" si="3"/>
        <v>700.47158103747677</v>
      </c>
      <c r="I19">
        <v>12.3</v>
      </c>
      <c r="J19">
        <v>12.3</v>
      </c>
      <c r="K19">
        <v>10.8</v>
      </c>
      <c r="L19">
        <v>72.2</v>
      </c>
      <c r="M19">
        <v>2.1640000000000001</v>
      </c>
      <c r="N19">
        <v>40.5</v>
      </c>
      <c r="O19">
        <v>5278.8147431124298</v>
      </c>
      <c r="P19" s="5">
        <v>942</v>
      </c>
      <c r="Q19" s="5">
        <v>942</v>
      </c>
    </row>
    <row r="20" spans="1:17" x14ac:dyDescent="0.25">
      <c r="A20" t="s">
        <v>39</v>
      </c>
      <c r="B20" t="s">
        <v>14</v>
      </c>
      <c r="C20" t="s">
        <v>40</v>
      </c>
      <c r="D20">
        <v>20210816</v>
      </c>
      <c r="E20">
        <v>3646.4</v>
      </c>
      <c r="F20">
        <f t="shared" si="2"/>
        <v>1215.4666666666667</v>
      </c>
      <c r="G20">
        <v>2599.1672449687699</v>
      </c>
      <c r="H20">
        <f t="shared" si="3"/>
        <v>866.38908165625662</v>
      </c>
      <c r="I20">
        <v>12.6</v>
      </c>
      <c r="J20">
        <v>12.7</v>
      </c>
      <c r="K20">
        <v>11.1</v>
      </c>
      <c r="L20">
        <v>71</v>
      </c>
      <c r="M20">
        <v>2.2360000000000002</v>
      </c>
      <c r="N20">
        <v>39.979999999999997</v>
      </c>
      <c r="O20">
        <v>6245.56724496877</v>
      </c>
      <c r="P20" s="5">
        <v>846</v>
      </c>
      <c r="Q20" s="5">
        <v>846</v>
      </c>
    </row>
    <row r="21" spans="1:17" x14ac:dyDescent="0.25">
      <c r="A21" t="s">
        <v>41</v>
      </c>
      <c r="B21" t="s">
        <v>14</v>
      </c>
      <c r="C21" t="s">
        <v>42</v>
      </c>
      <c r="D21">
        <v>20210816</v>
      </c>
      <c r="E21">
        <v>2988.8</v>
      </c>
      <c r="F21">
        <f t="shared" si="2"/>
        <v>996.26666666666677</v>
      </c>
      <c r="G21">
        <v>2318.7152777777801</v>
      </c>
      <c r="H21">
        <f t="shared" si="3"/>
        <v>772.90509259259341</v>
      </c>
      <c r="I21">
        <v>12.2</v>
      </c>
      <c r="J21">
        <v>12.7</v>
      </c>
      <c r="K21">
        <v>11.2</v>
      </c>
      <c r="L21">
        <v>71.900000000000006</v>
      </c>
      <c r="M21">
        <v>2.2360000000000002</v>
      </c>
      <c r="N21">
        <v>40.32</v>
      </c>
      <c r="O21">
        <v>5307.5152777777803</v>
      </c>
      <c r="P21" s="5">
        <v>1053</v>
      </c>
      <c r="Q21" s="5">
        <v>1053</v>
      </c>
    </row>
    <row r="22" spans="1:17" hidden="1" x14ac:dyDescent="0.25">
      <c r="A22" t="s">
        <v>43</v>
      </c>
      <c r="B22" t="s">
        <v>14</v>
      </c>
      <c r="C22" t="s">
        <v>15</v>
      </c>
      <c r="D22">
        <v>20210818</v>
      </c>
      <c r="E22">
        <v>2937.1</v>
      </c>
      <c r="G22">
        <v>2129.9617834394899</v>
      </c>
      <c r="I22">
        <v>13</v>
      </c>
      <c r="J22">
        <v>14.6</v>
      </c>
      <c r="K22">
        <v>12.7</v>
      </c>
      <c r="L22">
        <v>71.5</v>
      </c>
      <c r="M22">
        <v>2.5550000000000002</v>
      </c>
      <c r="N22">
        <v>40.32</v>
      </c>
      <c r="O22">
        <v>5067.0617834394898</v>
      </c>
      <c r="P22" s="5">
        <v>516.79999999999995</v>
      </c>
      <c r="Q22" s="5">
        <v>516.79999999999995</v>
      </c>
    </row>
    <row r="23" spans="1:17" hidden="1" x14ac:dyDescent="0.25">
      <c r="A23" t="s">
        <v>44</v>
      </c>
      <c r="B23" t="s">
        <v>14</v>
      </c>
      <c r="C23" t="s">
        <v>15</v>
      </c>
      <c r="D23">
        <v>20210816</v>
      </c>
      <c r="E23">
        <v>3290.4</v>
      </c>
      <c r="G23">
        <v>2234.3012704174198</v>
      </c>
      <c r="I23">
        <v>12.5</v>
      </c>
      <c r="J23">
        <v>14.9</v>
      </c>
      <c r="K23">
        <v>13</v>
      </c>
      <c r="L23">
        <v>71.8</v>
      </c>
      <c r="M23">
        <v>2.609</v>
      </c>
      <c r="N23">
        <v>41.74</v>
      </c>
      <c r="O23">
        <v>5524.7012704174203</v>
      </c>
      <c r="P23" s="5">
        <v>406</v>
      </c>
      <c r="Q23" s="5">
        <v>406</v>
      </c>
    </row>
    <row r="24" spans="1:17" x14ac:dyDescent="0.25">
      <c r="A24" t="s">
        <v>45</v>
      </c>
      <c r="B24" t="s">
        <v>14</v>
      </c>
      <c r="C24" t="s">
        <v>25</v>
      </c>
      <c r="D24">
        <v>20210816</v>
      </c>
      <c r="E24">
        <v>3125.4</v>
      </c>
      <c r="F24">
        <f t="shared" ref="F24:F28" si="4">E24/3</f>
        <v>1041.8</v>
      </c>
      <c r="G24">
        <v>2300.8522727272698</v>
      </c>
      <c r="H24">
        <f t="shared" ref="H24:H28" si="5">G24/3</f>
        <v>766.9507575757566</v>
      </c>
      <c r="I24">
        <v>12.4</v>
      </c>
      <c r="J24">
        <v>14</v>
      </c>
      <c r="K24">
        <v>12.3</v>
      </c>
      <c r="L24">
        <v>71.900000000000006</v>
      </c>
      <c r="M24">
        <v>2.4630000000000001</v>
      </c>
      <c r="N24">
        <v>39.99</v>
      </c>
      <c r="O24">
        <v>5426.2522727272699</v>
      </c>
      <c r="P24" s="5">
        <v>855</v>
      </c>
      <c r="Q24" s="5">
        <v>855</v>
      </c>
    </row>
    <row r="25" spans="1:17" x14ac:dyDescent="0.25">
      <c r="A25" t="s">
        <v>46</v>
      </c>
      <c r="B25" t="s">
        <v>14</v>
      </c>
      <c r="C25" t="s">
        <v>47</v>
      </c>
      <c r="D25">
        <v>20210818</v>
      </c>
      <c r="E25">
        <v>3376.6</v>
      </c>
      <c r="F25">
        <f t="shared" si="4"/>
        <v>1125.5333333333333</v>
      </c>
      <c r="G25">
        <v>2366.4237203909202</v>
      </c>
      <c r="H25">
        <f t="shared" si="5"/>
        <v>788.80790679697338</v>
      </c>
      <c r="I25">
        <v>12.4</v>
      </c>
      <c r="J25">
        <v>13.3</v>
      </c>
      <c r="K25">
        <v>11.6</v>
      </c>
      <c r="L25">
        <v>71.599999999999994</v>
      </c>
      <c r="M25">
        <v>2.3290000000000002</v>
      </c>
      <c r="N25">
        <v>43.67</v>
      </c>
      <c r="O25">
        <v>5743.0237203909201</v>
      </c>
      <c r="P25" s="5">
        <v>879</v>
      </c>
      <c r="Q25" s="5">
        <v>879</v>
      </c>
    </row>
    <row r="26" spans="1:17" x14ac:dyDescent="0.25">
      <c r="A26" t="s">
        <v>48</v>
      </c>
      <c r="B26" t="s">
        <v>14</v>
      </c>
      <c r="C26" t="s">
        <v>49</v>
      </c>
      <c r="D26">
        <v>20210818</v>
      </c>
      <c r="E26">
        <v>3049.6</v>
      </c>
      <c r="F26">
        <f t="shared" si="4"/>
        <v>1016.5333333333333</v>
      </c>
      <c r="G26">
        <v>2147.5917278185502</v>
      </c>
      <c r="H26">
        <f t="shared" si="5"/>
        <v>715.86390927285004</v>
      </c>
      <c r="I26">
        <v>12.2</v>
      </c>
      <c r="J26">
        <v>13.5</v>
      </c>
      <c r="K26">
        <v>11.8</v>
      </c>
      <c r="L26">
        <v>70.7</v>
      </c>
      <c r="M26">
        <v>2.3639999999999999</v>
      </c>
      <c r="N26">
        <v>37.39</v>
      </c>
      <c r="O26">
        <v>5197.1917278185501</v>
      </c>
      <c r="P26" s="5">
        <v>867</v>
      </c>
      <c r="Q26" s="5">
        <v>867</v>
      </c>
    </row>
    <row r="27" spans="1:17" x14ac:dyDescent="0.25">
      <c r="A27" t="s">
        <v>50</v>
      </c>
      <c r="B27" t="s">
        <v>14</v>
      </c>
      <c r="C27" t="s">
        <v>40</v>
      </c>
      <c r="D27">
        <v>20210816</v>
      </c>
      <c r="E27">
        <v>3344.4</v>
      </c>
      <c r="F27">
        <f t="shared" si="4"/>
        <v>1114.8</v>
      </c>
      <c r="G27">
        <v>2468.1907250163299</v>
      </c>
      <c r="H27">
        <f t="shared" si="5"/>
        <v>822.73024167210997</v>
      </c>
      <c r="I27">
        <v>12.5</v>
      </c>
      <c r="J27">
        <v>12.2</v>
      </c>
      <c r="K27">
        <v>10.7</v>
      </c>
      <c r="L27">
        <v>71.599999999999994</v>
      </c>
      <c r="M27">
        <v>2.1459999999999999</v>
      </c>
      <c r="N27">
        <v>42.66</v>
      </c>
      <c r="O27">
        <v>5812.59072501633</v>
      </c>
      <c r="P27" s="5">
        <v>939</v>
      </c>
      <c r="Q27" s="5">
        <v>939</v>
      </c>
    </row>
    <row r="28" spans="1:17" x14ac:dyDescent="0.25">
      <c r="A28" t="s">
        <v>51</v>
      </c>
      <c r="B28" t="s">
        <v>14</v>
      </c>
      <c r="C28" t="s">
        <v>27</v>
      </c>
      <c r="D28">
        <v>20210816</v>
      </c>
      <c r="E28">
        <v>2738.9</v>
      </c>
      <c r="F28">
        <f t="shared" si="4"/>
        <v>912.9666666666667</v>
      </c>
      <c r="G28">
        <v>2102.0270270270298</v>
      </c>
      <c r="H28">
        <f t="shared" si="5"/>
        <v>700.67567567567664</v>
      </c>
      <c r="I28">
        <v>12.6</v>
      </c>
      <c r="J28">
        <v>12.8</v>
      </c>
      <c r="K28">
        <v>11.2</v>
      </c>
      <c r="L28">
        <v>72.3</v>
      </c>
      <c r="M28">
        <v>2.2509999999999999</v>
      </c>
      <c r="N28">
        <v>43.33</v>
      </c>
      <c r="O28">
        <v>4840.9270270270299</v>
      </c>
      <c r="P28" s="5">
        <v>900</v>
      </c>
      <c r="Q28" s="5">
        <v>900</v>
      </c>
    </row>
    <row r="29" spans="1:17" hidden="1" x14ac:dyDescent="0.25">
      <c r="A29" t="s">
        <v>52</v>
      </c>
      <c r="B29" t="s">
        <v>14</v>
      </c>
      <c r="C29" t="s">
        <v>15</v>
      </c>
      <c r="D29">
        <v>20210816</v>
      </c>
      <c r="G29">
        <v>1982.5917252146801</v>
      </c>
      <c r="I29">
        <v>12.3</v>
      </c>
      <c r="J29">
        <v>14.5</v>
      </c>
      <c r="K29">
        <v>12.7</v>
      </c>
      <c r="L29">
        <v>71.599999999999994</v>
      </c>
      <c r="M29">
        <v>2.5489999999999999</v>
      </c>
      <c r="N29">
        <v>40.64</v>
      </c>
      <c r="P29" s="5">
        <v>480</v>
      </c>
      <c r="Q29" s="5">
        <v>480</v>
      </c>
    </row>
    <row r="30" spans="1:17" hidden="1" x14ac:dyDescent="0.25">
      <c r="A30" t="s">
        <v>53</v>
      </c>
      <c r="B30" t="s">
        <v>14</v>
      </c>
      <c r="C30" t="s">
        <v>15</v>
      </c>
      <c r="D30">
        <v>20210818</v>
      </c>
      <c r="E30">
        <v>3464.4</v>
      </c>
      <c r="G30">
        <v>2296.08733624454</v>
      </c>
      <c r="I30">
        <v>12.4</v>
      </c>
      <c r="J30">
        <v>14.8</v>
      </c>
      <c r="K30">
        <v>13</v>
      </c>
      <c r="L30">
        <v>71.2</v>
      </c>
      <c r="M30">
        <v>2.5960000000000001</v>
      </c>
      <c r="N30">
        <v>42.11</v>
      </c>
      <c r="O30">
        <v>5760.4873362445396</v>
      </c>
      <c r="P30" s="5">
        <v>378</v>
      </c>
      <c r="Q30" s="5">
        <v>378</v>
      </c>
    </row>
    <row r="31" spans="1:17" x14ac:dyDescent="0.25">
      <c r="A31" t="s">
        <v>54</v>
      </c>
      <c r="B31" t="s">
        <v>14</v>
      </c>
      <c r="C31" t="s">
        <v>29</v>
      </c>
      <c r="D31">
        <v>20210816</v>
      </c>
      <c r="E31">
        <v>3003</v>
      </c>
      <c r="F31">
        <f t="shared" ref="F31:F35" si="6">E31/3</f>
        <v>1001</v>
      </c>
      <c r="G31">
        <v>2196.5865011636902</v>
      </c>
      <c r="H31">
        <f t="shared" ref="H31:H35" si="7">G31/3</f>
        <v>732.19550038789669</v>
      </c>
      <c r="I31">
        <v>12.6</v>
      </c>
      <c r="J31">
        <v>15</v>
      </c>
      <c r="K31">
        <v>13.1</v>
      </c>
      <c r="L31">
        <v>70.099999999999994</v>
      </c>
      <c r="M31">
        <v>2.6379999999999999</v>
      </c>
      <c r="N31">
        <v>40.799999999999997</v>
      </c>
      <c r="O31">
        <v>5199.5865011636897</v>
      </c>
      <c r="P31" s="5">
        <v>924</v>
      </c>
      <c r="Q31" s="5">
        <v>924</v>
      </c>
    </row>
    <row r="32" spans="1:17" x14ac:dyDescent="0.25">
      <c r="A32" t="s">
        <v>55</v>
      </c>
      <c r="B32" t="s">
        <v>14</v>
      </c>
      <c r="C32" t="s">
        <v>47</v>
      </c>
      <c r="D32">
        <v>20210818</v>
      </c>
      <c r="E32">
        <v>3287.1</v>
      </c>
      <c r="F32">
        <f t="shared" si="6"/>
        <v>1095.7</v>
      </c>
      <c r="G32">
        <v>2358.7858183584299</v>
      </c>
      <c r="H32">
        <f t="shared" si="7"/>
        <v>786.26193945281</v>
      </c>
      <c r="I32">
        <v>12.4</v>
      </c>
      <c r="J32">
        <v>13.3</v>
      </c>
      <c r="K32">
        <v>11.7</v>
      </c>
      <c r="L32">
        <v>71.5</v>
      </c>
      <c r="M32">
        <v>2.3340000000000001</v>
      </c>
      <c r="N32">
        <v>43.48</v>
      </c>
      <c r="O32">
        <v>5645.8858183584298</v>
      </c>
      <c r="P32" s="5">
        <v>861</v>
      </c>
      <c r="Q32" s="5">
        <v>861</v>
      </c>
    </row>
    <row r="33" spans="1:17" x14ac:dyDescent="0.25">
      <c r="A33" t="s">
        <v>56</v>
      </c>
      <c r="B33" t="s">
        <v>14</v>
      </c>
      <c r="C33" t="s">
        <v>38</v>
      </c>
      <c r="D33">
        <v>20210816</v>
      </c>
      <c r="F33">
        <f t="shared" si="6"/>
        <v>0</v>
      </c>
      <c r="G33">
        <v>2363.5742743312499</v>
      </c>
      <c r="H33">
        <f t="shared" si="7"/>
        <v>787.85809144374991</v>
      </c>
      <c r="I33">
        <v>12.4</v>
      </c>
      <c r="J33">
        <v>12.6</v>
      </c>
      <c r="K33">
        <v>11</v>
      </c>
      <c r="L33">
        <v>73.099999999999994</v>
      </c>
      <c r="M33">
        <v>2.2080000000000002</v>
      </c>
      <c r="N33">
        <v>41.04</v>
      </c>
      <c r="P33" s="5">
        <v>918</v>
      </c>
      <c r="Q33" s="5">
        <v>918</v>
      </c>
    </row>
    <row r="34" spans="1:17" x14ac:dyDescent="0.25">
      <c r="A34" t="s">
        <v>57</v>
      </c>
      <c r="B34" t="s">
        <v>14</v>
      </c>
      <c r="C34" t="s">
        <v>25</v>
      </c>
      <c r="D34">
        <v>20210818</v>
      </c>
      <c r="E34">
        <v>3218.7</v>
      </c>
      <c r="F34">
        <f t="shared" si="6"/>
        <v>1072.8999999999999</v>
      </c>
      <c r="G34">
        <v>2392.8125</v>
      </c>
      <c r="H34">
        <f t="shared" si="7"/>
        <v>797.60416666666663</v>
      </c>
      <c r="I34">
        <v>12.4</v>
      </c>
      <c r="J34">
        <v>13.1</v>
      </c>
      <c r="K34">
        <v>11.5</v>
      </c>
      <c r="L34">
        <v>72.099999999999994</v>
      </c>
      <c r="M34">
        <v>2.3050000000000002</v>
      </c>
      <c r="N34">
        <v>39.01</v>
      </c>
      <c r="O34">
        <v>5611.5124999999998</v>
      </c>
      <c r="P34" s="5">
        <v>951</v>
      </c>
      <c r="Q34" s="5">
        <v>951</v>
      </c>
    </row>
    <row r="35" spans="1:17" x14ac:dyDescent="0.25">
      <c r="A35" t="s">
        <v>58</v>
      </c>
      <c r="B35" t="s">
        <v>14</v>
      </c>
      <c r="C35" t="s">
        <v>42</v>
      </c>
      <c r="D35">
        <v>20210816</v>
      </c>
      <c r="E35">
        <v>2939.4</v>
      </c>
      <c r="F35">
        <f t="shared" si="6"/>
        <v>979.80000000000007</v>
      </c>
      <c r="G35">
        <v>2472.8174603174598</v>
      </c>
      <c r="H35">
        <f t="shared" si="7"/>
        <v>824.27248677248656</v>
      </c>
      <c r="I35">
        <v>12.5</v>
      </c>
      <c r="J35">
        <v>12.7</v>
      </c>
      <c r="K35">
        <v>11.1</v>
      </c>
      <c r="L35">
        <v>71.599999999999994</v>
      </c>
      <c r="M35">
        <v>2.2250000000000001</v>
      </c>
      <c r="N35">
        <v>40.200000000000003</v>
      </c>
      <c r="O35">
        <v>5412.2174603174599</v>
      </c>
      <c r="P35" s="5">
        <v>843</v>
      </c>
      <c r="Q35" s="5">
        <v>843</v>
      </c>
    </row>
    <row r="36" spans="1:17" hidden="1" x14ac:dyDescent="0.25">
      <c r="A36" t="s">
        <v>59</v>
      </c>
      <c r="B36" t="s">
        <v>14</v>
      </c>
      <c r="C36" t="s">
        <v>15</v>
      </c>
      <c r="D36">
        <v>20210818</v>
      </c>
      <c r="E36">
        <v>2684.3</v>
      </c>
      <c r="G36">
        <v>2043.83419689119</v>
      </c>
      <c r="I36">
        <v>12.4</v>
      </c>
      <c r="J36">
        <v>14.6</v>
      </c>
      <c r="K36">
        <v>12.8</v>
      </c>
      <c r="L36">
        <v>71</v>
      </c>
      <c r="M36">
        <v>2.5640000000000001</v>
      </c>
      <c r="N36">
        <v>40.700000000000003</v>
      </c>
      <c r="O36">
        <v>4728.1341968911902</v>
      </c>
      <c r="P36" s="5">
        <v>476.8</v>
      </c>
      <c r="Q36" s="5">
        <v>476.8</v>
      </c>
    </row>
    <row r="37" spans="1:17" hidden="1" x14ac:dyDescent="0.25">
      <c r="A37" t="s">
        <v>60</v>
      </c>
      <c r="B37" t="s">
        <v>14</v>
      </c>
      <c r="C37" t="s">
        <v>15</v>
      </c>
      <c r="D37">
        <v>20210816</v>
      </c>
      <c r="E37">
        <v>3752.5</v>
      </c>
      <c r="G37">
        <v>2505.8568851473201</v>
      </c>
      <c r="I37">
        <v>12.4</v>
      </c>
      <c r="J37">
        <v>14.7</v>
      </c>
      <c r="K37">
        <v>12.9</v>
      </c>
      <c r="L37">
        <v>71.2</v>
      </c>
      <c r="M37">
        <v>2.5739999999999998</v>
      </c>
      <c r="N37">
        <v>42.03</v>
      </c>
      <c r="O37">
        <v>6258.3568851473201</v>
      </c>
      <c r="P37" s="5">
        <v>432.59999999999997</v>
      </c>
      <c r="Q37" s="5">
        <v>432.59999999999997</v>
      </c>
    </row>
    <row r="38" spans="1:17" x14ac:dyDescent="0.25">
      <c r="A38" t="s">
        <v>61</v>
      </c>
      <c r="B38" t="s">
        <v>14</v>
      </c>
      <c r="C38" t="s">
        <v>36</v>
      </c>
      <c r="D38">
        <v>20210816</v>
      </c>
      <c r="E38">
        <v>3162.4</v>
      </c>
      <c r="F38">
        <f t="shared" ref="F38:F42" si="8">E38/3</f>
        <v>1054.1333333333334</v>
      </c>
      <c r="G38">
        <v>2402.3661971831002</v>
      </c>
      <c r="H38">
        <f t="shared" ref="H38:H42" si="9">G38/3</f>
        <v>800.78873239436678</v>
      </c>
      <c r="I38">
        <v>12.7</v>
      </c>
      <c r="J38">
        <v>15.2</v>
      </c>
      <c r="K38">
        <v>13.3</v>
      </c>
      <c r="L38">
        <v>70.900000000000006</v>
      </c>
      <c r="M38">
        <v>2.6709999999999998</v>
      </c>
      <c r="N38">
        <v>43.23</v>
      </c>
      <c r="O38">
        <v>5564.7661971831003</v>
      </c>
      <c r="P38" s="5">
        <v>945</v>
      </c>
      <c r="Q38" s="5">
        <v>945</v>
      </c>
    </row>
    <row r="39" spans="1:17" x14ac:dyDescent="0.25">
      <c r="A39" t="s">
        <v>62</v>
      </c>
      <c r="B39" t="s">
        <v>14</v>
      </c>
      <c r="C39" t="s">
        <v>49</v>
      </c>
      <c r="D39">
        <v>20210818</v>
      </c>
      <c r="E39">
        <v>3313.6</v>
      </c>
      <c r="F39">
        <f t="shared" si="8"/>
        <v>1104.5333333333333</v>
      </c>
      <c r="G39">
        <v>2516.6782006920398</v>
      </c>
      <c r="H39">
        <f t="shared" si="9"/>
        <v>838.89273356401327</v>
      </c>
      <c r="I39">
        <v>12.3</v>
      </c>
      <c r="J39">
        <v>14.7</v>
      </c>
      <c r="K39">
        <v>12.9</v>
      </c>
      <c r="L39">
        <v>70.2</v>
      </c>
      <c r="M39">
        <v>2.581</v>
      </c>
      <c r="N39">
        <v>37.130000000000003</v>
      </c>
      <c r="O39">
        <v>5830.2782006920397</v>
      </c>
      <c r="P39" s="5">
        <v>828</v>
      </c>
      <c r="Q39" s="5">
        <v>828</v>
      </c>
    </row>
    <row r="40" spans="1:17" x14ac:dyDescent="0.25">
      <c r="A40" t="s">
        <v>63</v>
      </c>
      <c r="B40" t="s">
        <v>14</v>
      </c>
      <c r="C40" t="s">
        <v>34</v>
      </c>
      <c r="D40">
        <v>20210816</v>
      </c>
      <c r="E40">
        <v>3005.9</v>
      </c>
      <c r="F40">
        <f t="shared" si="8"/>
        <v>1001.9666666666667</v>
      </c>
      <c r="G40">
        <v>2042.8766375545899</v>
      </c>
      <c r="H40">
        <f t="shared" si="9"/>
        <v>680.95887918486335</v>
      </c>
      <c r="I40">
        <v>12.5</v>
      </c>
      <c r="J40">
        <v>12.3</v>
      </c>
      <c r="K40">
        <v>10.7</v>
      </c>
      <c r="L40">
        <v>72.400000000000006</v>
      </c>
      <c r="M40">
        <v>2.1509999999999998</v>
      </c>
      <c r="N40">
        <v>38.07</v>
      </c>
      <c r="O40">
        <v>5048.7766375545898</v>
      </c>
      <c r="P40" s="5">
        <v>819</v>
      </c>
      <c r="Q40" s="5">
        <v>837</v>
      </c>
    </row>
    <row r="41" spans="1:17" x14ac:dyDescent="0.25">
      <c r="A41" t="s">
        <v>64</v>
      </c>
      <c r="B41" t="s">
        <v>14</v>
      </c>
      <c r="C41" t="s">
        <v>42</v>
      </c>
      <c r="D41">
        <v>20210818</v>
      </c>
      <c r="E41">
        <v>3160</v>
      </c>
      <c r="F41">
        <f t="shared" si="8"/>
        <v>1053.3333333333333</v>
      </c>
      <c r="G41">
        <v>2362.9908256880699</v>
      </c>
      <c r="H41">
        <f t="shared" si="9"/>
        <v>787.66360856269</v>
      </c>
      <c r="I41">
        <v>12.4</v>
      </c>
      <c r="J41">
        <v>12.4</v>
      </c>
      <c r="K41">
        <v>10.8</v>
      </c>
      <c r="L41">
        <v>71.2</v>
      </c>
      <c r="M41">
        <v>2.1709999999999998</v>
      </c>
      <c r="N41">
        <v>41.79</v>
      </c>
      <c r="O41">
        <v>5522.9908256880699</v>
      </c>
      <c r="P41" s="5">
        <v>894</v>
      </c>
      <c r="Q41" s="5">
        <v>894</v>
      </c>
    </row>
    <row r="42" spans="1:17" x14ac:dyDescent="0.25">
      <c r="A42" t="s">
        <v>65</v>
      </c>
      <c r="B42" t="s">
        <v>14</v>
      </c>
      <c r="C42" t="s">
        <v>34</v>
      </c>
      <c r="D42">
        <v>20210818</v>
      </c>
      <c r="E42">
        <v>2788.2</v>
      </c>
      <c r="F42">
        <f t="shared" si="8"/>
        <v>929.4</v>
      </c>
      <c r="G42">
        <v>2091.15095430885</v>
      </c>
      <c r="H42">
        <f t="shared" si="9"/>
        <v>697.05031810294997</v>
      </c>
      <c r="I42">
        <v>12.6</v>
      </c>
      <c r="J42">
        <v>12.3</v>
      </c>
      <c r="K42">
        <v>10.7</v>
      </c>
      <c r="L42">
        <v>72.5</v>
      </c>
      <c r="M42">
        <v>2.1549999999999998</v>
      </c>
      <c r="N42">
        <v>37.020000000000003</v>
      </c>
      <c r="O42">
        <v>4879.3509543088503</v>
      </c>
      <c r="P42" s="5">
        <v>837</v>
      </c>
      <c r="Q42" s="5">
        <v>837</v>
      </c>
    </row>
    <row r="43" spans="1:17" hidden="1" x14ac:dyDescent="0.25">
      <c r="A43" t="s">
        <v>66</v>
      </c>
      <c r="B43" t="s">
        <v>14</v>
      </c>
      <c r="C43" t="s">
        <v>15</v>
      </c>
      <c r="D43">
        <v>20210816</v>
      </c>
      <c r="E43">
        <v>2797.8</v>
      </c>
      <c r="G43">
        <v>1897.1428571428601</v>
      </c>
      <c r="I43">
        <v>12.5</v>
      </c>
      <c r="J43">
        <v>14.3</v>
      </c>
      <c r="K43">
        <v>12.5</v>
      </c>
      <c r="L43">
        <v>72.099999999999994</v>
      </c>
      <c r="M43">
        <v>2.5089999999999999</v>
      </c>
      <c r="N43">
        <v>40.39</v>
      </c>
      <c r="O43">
        <v>4694.9428571428598</v>
      </c>
      <c r="P43" s="5">
        <v>444.8</v>
      </c>
      <c r="Q43" s="5">
        <v>444.8</v>
      </c>
    </row>
    <row r="44" spans="1:17" hidden="1" x14ac:dyDescent="0.25">
      <c r="A44" t="s">
        <v>67</v>
      </c>
      <c r="B44" t="s">
        <v>14</v>
      </c>
      <c r="C44" t="s">
        <v>15</v>
      </c>
      <c r="D44">
        <v>20210816</v>
      </c>
      <c r="E44">
        <v>3637.7</v>
      </c>
      <c r="G44">
        <v>2247.84708249497</v>
      </c>
      <c r="I44">
        <v>12.7</v>
      </c>
      <c r="J44">
        <v>15</v>
      </c>
      <c r="K44">
        <v>13.1</v>
      </c>
      <c r="L44">
        <v>71.5</v>
      </c>
      <c r="M44">
        <v>2.6360000000000001</v>
      </c>
      <c r="N44">
        <v>40.799999999999997</v>
      </c>
      <c r="O44">
        <v>5885.5470824949698</v>
      </c>
      <c r="P44" s="5">
        <v>404.59999999999997</v>
      </c>
      <c r="Q44" s="5">
        <v>404.59999999999997</v>
      </c>
    </row>
    <row r="45" spans="1:17" x14ac:dyDescent="0.25">
      <c r="A45" t="s">
        <v>68</v>
      </c>
      <c r="B45" t="s">
        <v>14</v>
      </c>
      <c r="C45" t="s">
        <v>27</v>
      </c>
      <c r="D45">
        <v>20210816</v>
      </c>
      <c r="E45">
        <v>3113.4</v>
      </c>
      <c r="F45">
        <f t="shared" ref="F45:F49" si="10">E45/3</f>
        <v>1037.8</v>
      </c>
      <c r="G45">
        <v>2106.6799204771401</v>
      </c>
      <c r="H45">
        <f t="shared" ref="H45:H49" si="11">G45/3</f>
        <v>702.22664015904672</v>
      </c>
      <c r="I45">
        <v>12.4</v>
      </c>
      <c r="J45">
        <v>14.3</v>
      </c>
      <c r="K45">
        <v>12.5</v>
      </c>
      <c r="L45">
        <v>71.599999999999994</v>
      </c>
      <c r="M45">
        <v>2.504</v>
      </c>
      <c r="N45">
        <v>45.78</v>
      </c>
      <c r="O45">
        <v>5220.0799204771401</v>
      </c>
      <c r="P45" s="5">
        <v>906</v>
      </c>
      <c r="Q45" s="5">
        <v>906</v>
      </c>
    </row>
    <row r="46" spans="1:17" x14ac:dyDescent="0.25">
      <c r="A46" t="s">
        <v>69</v>
      </c>
      <c r="B46" t="s">
        <v>14</v>
      </c>
      <c r="C46" t="s">
        <v>47</v>
      </c>
      <c r="D46">
        <v>20210818</v>
      </c>
      <c r="E46">
        <v>3256.5</v>
      </c>
      <c r="F46">
        <f t="shared" si="10"/>
        <v>1085.5</v>
      </c>
      <c r="G46">
        <v>2611.5050167224099</v>
      </c>
      <c r="H46">
        <f t="shared" si="11"/>
        <v>870.50167224080326</v>
      </c>
      <c r="I46">
        <v>12.4</v>
      </c>
      <c r="J46">
        <v>13.9</v>
      </c>
      <c r="K46">
        <v>12.2</v>
      </c>
      <c r="L46">
        <v>71.3</v>
      </c>
      <c r="M46">
        <v>2.4449999999999998</v>
      </c>
      <c r="N46">
        <v>41.96</v>
      </c>
      <c r="O46">
        <v>5868.0050167224099</v>
      </c>
      <c r="P46" s="5">
        <v>840</v>
      </c>
      <c r="Q46" s="5">
        <v>840</v>
      </c>
    </row>
    <row r="47" spans="1:17" x14ac:dyDescent="0.25">
      <c r="A47" t="s">
        <v>70</v>
      </c>
      <c r="B47" t="s">
        <v>14</v>
      </c>
      <c r="C47" t="s">
        <v>40</v>
      </c>
      <c r="D47">
        <v>20210816</v>
      </c>
      <c r="E47">
        <v>3416</v>
      </c>
      <c r="F47">
        <f t="shared" si="10"/>
        <v>1138.6666666666667</v>
      </c>
      <c r="G47">
        <v>2085.7818181818202</v>
      </c>
      <c r="H47">
        <f t="shared" si="11"/>
        <v>695.26060606060673</v>
      </c>
      <c r="I47">
        <v>12.4</v>
      </c>
      <c r="J47">
        <v>12.9</v>
      </c>
      <c r="K47">
        <v>11.3</v>
      </c>
      <c r="L47">
        <v>71.5</v>
      </c>
      <c r="M47">
        <v>2.266</v>
      </c>
      <c r="N47">
        <v>42.47</v>
      </c>
      <c r="O47">
        <v>5501.7818181818202</v>
      </c>
      <c r="P47" s="5">
        <v>849</v>
      </c>
      <c r="Q47" s="5">
        <v>849</v>
      </c>
    </row>
    <row r="48" spans="1:17" x14ac:dyDescent="0.25">
      <c r="A48" t="s">
        <v>71</v>
      </c>
      <c r="B48" t="s">
        <v>14</v>
      </c>
      <c r="C48" t="s">
        <v>49</v>
      </c>
      <c r="D48">
        <v>20210816</v>
      </c>
      <c r="E48">
        <v>3203.5</v>
      </c>
      <c r="F48">
        <f t="shared" si="10"/>
        <v>1067.8333333333333</v>
      </c>
      <c r="G48">
        <v>2337.54290171607</v>
      </c>
      <c r="H48">
        <f t="shared" si="11"/>
        <v>779.18096723868996</v>
      </c>
      <c r="I48">
        <v>12.5</v>
      </c>
      <c r="J48">
        <v>14</v>
      </c>
      <c r="K48">
        <v>12.2</v>
      </c>
      <c r="L48">
        <v>71.599999999999994</v>
      </c>
      <c r="M48">
        <v>2.4500000000000002</v>
      </c>
      <c r="N48">
        <v>38.17</v>
      </c>
      <c r="O48">
        <v>5541.0429017160704</v>
      </c>
      <c r="P48" s="5">
        <v>732</v>
      </c>
      <c r="Q48" s="5">
        <v>732</v>
      </c>
    </row>
    <row r="49" spans="1:17" x14ac:dyDescent="0.25">
      <c r="A49" t="s">
        <v>72</v>
      </c>
      <c r="B49" t="s">
        <v>14</v>
      </c>
      <c r="C49" t="s">
        <v>29</v>
      </c>
      <c r="D49">
        <v>20210818</v>
      </c>
      <c r="E49">
        <v>2921</v>
      </c>
      <c r="F49">
        <f t="shared" si="10"/>
        <v>973.66666666666663</v>
      </c>
      <c r="G49">
        <v>2316.9499657299498</v>
      </c>
      <c r="H49">
        <f t="shared" si="11"/>
        <v>772.31665524331663</v>
      </c>
      <c r="I49">
        <v>12.7</v>
      </c>
      <c r="J49">
        <v>13.7</v>
      </c>
      <c r="K49">
        <v>12</v>
      </c>
      <c r="L49">
        <v>71.3</v>
      </c>
      <c r="M49">
        <v>2.41</v>
      </c>
      <c r="N49">
        <v>39.03</v>
      </c>
      <c r="O49">
        <v>5237.9499657299502</v>
      </c>
      <c r="P49" s="5">
        <v>864</v>
      </c>
      <c r="Q49" s="5">
        <v>864</v>
      </c>
    </row>
    <row r="50" spans="1:17" hidden="1" x14ac:dyDescent="0.25">
      <c r="A50" t="s">
        <v>73</v>
      </c>
      <c r="B50" t="s">
        <v>14</v>
      </c>
      <c r="C50" t="s">
        <v>15</v>
      </c>
      <c r="D50">
        <v>20210818</v>
      </c>
      <c r="E50">
        <v>2759.9</v>
      </c>
      <c r="G50">
        <v>1973.6529318542</v>
      </c>
      <c r="I50">
        <v>12.6</v>
      </c>
      <c r="J50">
        <v>14.5</v>
      </c>
      <c r="K50">
        <v>12.7</v>
      </c>
      <c r="L50">
        <v>72.2</v>
      </c>
      <c r="M50">
        <v>2.5419999999999998</v>
      </c>
      <c r="N50">
        <v>39.29</v>
      </c>
      <c r="O50">
        <v>4733.5529318542003</v>
      </c>
      <c r="P50" s="5">
        <v>432</v>
      </c>
      <c r="Q50" s="5">
        <v>432</v>
      </c>
    </row>
    <row r="51" spans="1:17" hidden="1" x14ac:dyDescent="0.25">
      <c r="A51" t="s">
        <v>74</v>
      </c>
      <c r="B51" t="s">
        <v>14</v>
      </c>
      <c r="C51" t="s">
        <v>15</v>
      </c>
      <c r="D51">
        <v>20210818</v>
      </c>
      <c r="E51">
        <v>4118.2</v>
      </c>
      <c r="G51">
        <v>2349.4268774703601</v>
      </c>
      <c r="I51">
        <v>12.5</v>
      </c>
      <c r="J51">
        <v>14.8</v>
      </c>
      <c r="K51">
        <v>12.9</v>
      </c>
      <c r="L51">
        <v>71.3</v>
      </c>
      <c r="M51">
        <v>2.597</v>
      </c>
      <c r="N51">
        <v>44.23</v>
      </c>
      <c r="O51">
        <v>6467.6268774703503</v>
      </c>
      <c r="P51" s="5">
        <v>401.8</v>
      </c>
      <c r="Q51" s="5">
        <v>408.8</v>
      </c>
    </row>
    <row r="52" spans="1:17" hidden="1" x14ac:dyDescent="0.25">
      <c r="A52" t="s">
        <v>75</v>
      </c>
      <c r="B52" t="s">
        <v>14</v>
      </c>
      <c r="C52" t="s">
        <v>15</v>
      </c>
      <c r="D52">
        <v>20210816</v>
      </c>
      <c r="E52">
        <v>3432.2</v>
      </c>
      <c r="G52">
        <v>3794.9458483754502</v>
      </c>
      <c r="I52">
        <v>12.5</v>
      </c>
      <c r="J52">
        <v>14.5</v>
      </c>
      <c r="K52">
        <v>12.7</v>
      </c>
      <c r="L52">
        <v>71.900000000000006</v>
      </c>
      <c r="M52">
        <v>2.544</v>
      </c>
      <c r="N52">
        <v>43.39</v>
      </c>
      <c r="O52">
        <v>7227.1458483754504</v>
      </c>
      <c r="P52" s="5">
        <v>936</v>
      </c>
      <c r="Q52" s="5">
        <v>948</v>
      </c>
    </row>
    <row r="53" spans="1:17" hidden="1" x14ac:dyDescent="0.25">
      <c r="A53" t="s">
        <v>76</v>
      </c>
      <c r="B53" t="s">
        <v>14</v>
      </c>
      <c r="C53" t="s">
        <v>15</v>
      </c>
      <c r="D53">
        <v>20210816</v>
      </c>
      <c r="E53">
        <v>3304.4</v>
      </c>
      <c r="G53">
        <v>2351.21107266436</v>
      </c>
      <c r="I53">
        <v>12.4</v>
      </c>
      <c r="J53">
        <v>14.2</v>
      </c>
      <c r="K53">
        <v>12.4</v>
      </c>
      <c r="L53">
        <v>72</v>
      </c>
      <c r="M53">
        <v>2.4860000000000002</v>
      </c>
      <c r="N53">
        <v>40.86</v>
      </c>
      <c r="O53">
        <v>5655.6110726643601</v>
      </c>
      <c r="P53" s="5">
        <v>849</v>
      </c>
      <c r="Q53" s="5">
        <v>849</v>
      </c>
    </row>
    <row r="54" spans="1:17" x14ac:dyDescent="0.25">
      <c r="A54" t="s">
        <v>77</v>
      </c>
      <c r="B54" t="s">
        <v>14</v>
      </c>
      <c r="C54" t="s">
        <v>38</v>
      </c>
      <c r="D54">
        <v>20210816</v>
      </c>
      <c r="E54">
        <v>3208.8</v>
      </c>
      <c r="F54">
        <f t="shared" ref="F54:F55" si="12">E54/3</f>
        <v>1069.6000000000001</v>
      </c>
      <c r="G54">
        <v>2298.69158878505</v>
      </c>
      <c r="H54">
        <f t="shared" ref="H54:H55" si="13">G54/3</f>
        <v>766.23052959501672</v>
      </c>
      <c r="I54">
        <v>12.3</v>
      </c>
      <c r="J54">
        <v>12.1</v>
      </c>
      <c r="K54">
        <v>10.6</v>
      </c>
      <c r="L54">
        <v>72.599999999999994</v>
      </c>
      <c r="M54">
        <v>2.1240000000000001</v>
      </c>
      <c r="N54">
        <v>40.93</v>
      </c>
      <c r="O54">
        <v>5507.4915887850502</v>
      </c>
      <c r="P54" s="5">
        <v>879</v>
      </c>
      <c r="Q54" s="5">
        <v>924</v>
      </c>
    </row>
    <row r="55" spans="1:17" x14ac:dyDescent="0.25">
      <c r="A55" t="s">
        <v>78</v>
      </c>
      <c r="B55" t="s">
        <v>14</v>
      </c>
      <c r="C55" t="s">
        <v>36</v>
      </c>
      <c r="D55">
        <v>20210818</v>
      </c>
      <c r="E55">
        <v>3152.1</v>
      </c>
      <c r="F55">
        <f t="shared" si="12"/>
        <v>1050.7</v>
      </c>
      <c r="G55">
        <v>2374.0243902439001</v>
      </c>
      <c r="H55">
        <f t="shared" si="13"/>
        <v>791.34146341463338</v>
      </c>
      <c r="I55">
        <v>12.8</v>
      </c>
      <c r="J55">
        <v>13.8</v>
      </c>
      <c r="K55">
        <v>12</v>
      </c>
      <c r="L55">
        <v>71.2</v>
      </c>
      <c r="M55">
        <v>2.4159999999999999</v>
      </c>
      <c r="N55">
        <v>42.47</v>
      </c>
      <c r="O55">
        <v>5526.1243902439001</v>
      </c>
      <c r="P55" s="5">
        <v>876</v>
      </c>
      <c r="Q55" s="5">
        <v>876</v>
      </c>
    </row>
    <row r="56" spans="1:17" hidden="1" x14ac:dyDescent="0.25">
      <c r="A56" t="s">
        <v>79</v>
      </c>
      <c r="B56" t="s">
        <v>14</v>
      </c>
      <c r="C56" t="s">
        <v>15</v>
      </c>
      <c r="D56">
        <v>20210816</v>
      </c>
      <c r="E56">
        <v>3055.7</v>
      </c>
      <c r="G56">
        <v>2331.3220338983101</v>
      </c>
      <c r="I56">
        <v>12.3</v>
      </c>
      <c r="J56">
        <v>13.3</v>
      </c>
      <c r="K56">
        <v>11.6</v>
      </c>
      <c r="L56">
        <v>71.900000000000006</v>
      </c>
      <c r="M56">
        <v>2.3279999999999998</v>
      </c>
      <c r="N56">
        <v>39.64</v>
      </c>
      <c r="O56">
        <v>5387.0220338983099</v>
      </c>
      <c r="P56" s="5">
        <v>834</v>
      </c>
      <c r="Q56" s="5">
        <v>837</v>
      </c>
    </row>
    <row r="57" spans="1:17" hidden="1" x14ac:dyDescent="0.25">
      <c r="A57" t="s">
        <v>80</v>
      </c>
      <c r="B57" t="s">
        <v>14</v>
      </c>
      <c r="C57" t="s">
        <v>15</v>
      </c>
      <c r="D57">
        <v>20210816</v>
      </c>
      <c r="E57">
        <v>2847.6</v>
      </c>
      <c r="G57">
        <v>1882.9279700654799</v>
      </c>
      <c r="I57">
        <v>12.4</v>
      </c>
      <c r="J57">
        <v>14.6</v>
      </c>
      <c r="K57">
        <v>12.8</v>
      </c>
      <c r="L57">
        <v>71.8</v>
      </c>
      <c r="M57">
        <v>2.556</v>
      </c>
      <c r="N57">
        <v>41.72</v>
      </c>
      <c r="O57">
        <v>4730.5279700654801</v>
      </c>
      <c r="P57" s="5">
        <v>440</v>
      </c>
      <c r="Q57" s="5">
        <v>440</v>
      </c>
    </row>
    <row r="58" spans="1:17" hidden="1" x14ac:dyDescent="0.25">
      <c r="A58" t="s">
        <v>81</v>
      </c>
      <c r="B58" t="s">
        <v>14</v>
      </c>
      <c r="C58" t="s">
        <v>15</v>
      </c>
      <c r="D58">
        <v>20210818</v>
      </c>
      <c r="E58">
        <v>4323</v>
      </c>
      <c r="G58">
        <v>2591.2553802008601</v>
      </c>
      <c r="I58">
        <v>12.5</v>
      </c>
      <c r="J58">
        <v>14.9</v>
      </c>
      <c r="K58">
        <v>13.1</v>
      </c>
      <c r="L58">
        <v>71.599999999999994</v>
      </c>
      <c r="M58">
        <v>2.6179999999999999</v>
      </c>
      <c r="N58">
        <v>42.43</v>
      </c>
      <c r="O58">
        <v>6914.2553802008597</v>
      </c>
      <c r="P58" s="5">
        <v>390.59999999999997</v>
      </c>
      <c r="Q58" s="5">
        <v>390.59999999999997</v>
      </c>
    </row>
    <row r="59" spans="1:17" hidden="1" x14ac:dyDescent="0.25">
      <c r="A59" t="s">
        <v>82</v>
      </c>
      <c r="B59" t="s">
        <v>14</v>
      </c>
      <c r="C59" t="s">
        <v>15</v>
      </c>
      <c r="D59">
        <v>20210816</v>
      </c>
      <c r="E59">
        <v>3625.8</v>
      </c>
      <c r="G59">
        <v>2615.19823788546</v>
      </c>
      <c r="I59">
        <v>12.3</v>
      </c>
      <c r="J59">
        <v>14.8</v>
      </c>
      <c r="K59">
        <v>13</v>
      </c>
      <c r="L59">
        <v>71</v>
      </c>
      <c r="M59">
        <v>2.6040000000000001</v>
      </c>
      <c r="N59">
        <v>41.28</v>
      </c>
      <c r="O59">
        <v>6240.9982378854602</v>
      </c>
      <c r="P59" s="5">
        <v>918</v>
      </c>
      <c r="Q59" s="5">
        <v>918</v>
      </c>
    </row>
    <row r="60" spans="1:17" hidden="1" x14ac:dyDescent="0.25">
      <c r="A60" t="s">
        <v>83</v>
      </c>
      <c r="B60" t="s">
        <v>14</v>
      </c>
      <c r="C60" t="s">
        <v>15</v>
      </c>
      <c r="D60">
        <v>20210816</v>
      </c>
      <c r="E60">
        <v>3111.6</v>
      </c>
      <c r="G60">
        <v>2315.2885187388501</v>
      </c>
      <c r="I60">
        <v>12.3</v>
      </c>
      <c r="J60">
        <v>14.9</v>
      </c>
      <c r="K60">
        <v>13.1</v>
      </c>
      <c r="L60">
        <v>71.599999999999994</v>
      </c>
      <c r="M60">
        <v>2.6139999999999999</v>
      </c>
      <c r="N60">
        <v>39.79</v>
      </c>
      <c r="O60">
        <v>5426.8885187388496</v>
      </c>
      <c r="P60" s="5">
        <v>858</v>
      </c>
      <c r="Q60" s="5">
        <v>858</v>
      </c>
    </row>
    <row r="61" spans="1:17" hidden="1" x14ac:dyDescent="0.25">
      <c r="A61" t="s">
        <v>84</v>
      </c>
      <c r="B61" t="s">
        <v>14</v>
      </c>
      <c r="C61" t="s">
        <v>15</v>
      </c>
      <c r="D61">
        <v>20210816</v>
      </c>
      <c r="E61">
        <v>3165.3</v>
      </c>
      <c r="G61">
        <v>2201.36892539357</v>
      </c>
      <c r="I61">
        <v>12.4</v>
      </c>
      <c r="J61">
        <v>12.9</v>
      </c>
      <c r="K61">
        <v>11.3</v>
      </c>
      <c r="L61">
        <v>72.8</v>
      </c>
      <c r="M61">
        <v>2.2610000000000001</v>
      </c>
      <c r="N61">
        <v>42</v>
      </c>
      <c r="O61">
        <v>5366.6689253935701</v>
      </c>
      <c r="P61" s="5">
        <v>849</v>
      </c>
      <c r="Q61" s="5">
        <v>849</v>
      </c>
    </row>
    <row r="62" spans="1:17" hidden="1" x14ac:dyDescent="0.25">
      <c r="A62" t="s">
        <v>85</v>
      </c>
      <c r="B62" t="s">
        <v>14</v>
      </c>
      <c r="C62" t="s">
        <v>15</v>
      </c>
      <c r="D62">
        <v>20210816</v>
      </c>
      <c r="E62">
        <v>3469.5</v>
      </c>
      <c r="G62">
        <v>2308.96551724138</v>
      </c>
      <c r="I62">
        <v>12.4</v>
      </c>
      <c r="J62">
        <v>12.9</v>
      </c>
      <c r="K62">
        <v>11.3</v>
      </c>
      <c r="L62">
        <v>71.900000000000006</v>
      </c>
      <c r="M62">
        <v>2.258</v>
      </c>
      <c r="N62">
        <v>42.09</v>
      </c>
      <c r="O62">
        <v>5778.4655172413804</v>
      </c>
      <c r="P62" s="5">
        <v>876</v>
      </c>
      <c r="Q62" s="5">
        <v>858</v>
      </c>
    </row>
    <row r="63" spans="1:17" hidden="1" x14ac:dyDescent="0.25">
      <c r="A63" t="s">
        <v>86</v>
      </c>
      <c r="B63" t="s">
        <v>14</v>
      </c>
      <c r="C63" t="s">
        <v>15</v>
      </c>
      <c r="D63">
        <v>20210816</v>
      </c>
      <c r="E63">
        <v>3384.3</v>
      </c>
      <c r="G63">
        <v>2378.0945454545499</v>
      </c>
      <c r="I63">
        <v>12.7</v>
      </c>
      <c r="J63">
        <v>12.5</v>
      </c>
      <c r="K63">
        <v>10.9</v>
      </c>
      <c r="L63">
        <v>72.099999999999994</v>
      </c>
      <c r="M63">
        <v>2.2000000000000002</v>
      </c>
      <c r="N63">
        <v>40.22</v>
      </c>
      <c r="O63">
        <v>5762.3945454545501</v>
      </c>
      <c r="P63" s="5">
        <v>918</v>
      </c>
      <c r="Q63" s="5">
        <v>918</v>
      </c>
    </row>
    <row r="64" spans="1:17" hidden="1" x14ac:dyDescent="0.25">
      <c r="A64" t="s">
        <v>87</v>
      </c>
      <c r="B64" t="s">
        <v>14</v>
      </c>
      <c r="C64" t="s">
        <v>15</v>
      </c>
      <c r="D64">
        <v>20210816</v>
      </c>
      <c r="E64">
        <v>2830.4</v>
      </c>
      <c r="G64">
        <v>1900.43778801843</v>
      </c>
      <c r="I64">
        <v>12.5</v>
      </c>
      <c r="J64">
        <v>14.4</v>
      </c>
      <c r="K64">
        <v>12.6</v>
      </c>
      <c r="L64">
        <v>71.3</v>
      </c>
      <c r="M64">
        <v>2.5190000000000001</v>
      </c>
      <c r="N64">
        <v>39.799999999999997</v>
      </c>
      <c r="O64">
        <v>4730.8377880184298</v>
      </c>
      <c r="P64" s="5">
        <v>467.2</v>
      </c>
      <c r="Q64" s="5">
        <v>467.2</v>
      </c>
    </row>
    <row r="65" spans="1:17" hidden="1" x14ac:dyDescent="0.25">
      <c r="A65" t="s">
        <v>88</v>
      </c>
      <c r="B65" t="s">
        <v>89</v>
      </c>
      <c r="C65" t="s">
        <v>15</v>
      </c>
      <c r="D65">
        <v>20210816</v>
      </c>
      <c r="E65">
        <v>3868.6</v>
      </c>
      <c r="G65">
        <v>3054.1095890411002</v>
      </c>
      <c r="I65">
        <v>12.5</v>
      </c>
      <c r="J65">
        <v>15.3</v>
      </c>
      <c r="K65">
        <v>13.4</v>
      </c>
      <c r="L65">
        <v>71</v>
      </c>
      <c r="M65">
        <v>2.6829999999999998</v>
      </c>
      <c r="N65">
        <v>42.14</v>
      </c>
      <c r="O65">
        <v>6922.7095890411001</v>
      </c>
      <c r="P65" s="5">
        <v>376.59999999999997</v>
      </c>
      <c r="Q65" s="5">
        <v>390.59999999999997</v>
      </c>
    </row>
    <row r="66" spans="1:17" hidden="1" x14ac:dyDescent="0.25">
      <c r="A66" t="s">
        <v>90</v>
      </c>
      <c r="B66" t="s">
        <v>89</v>
      </c>
      <c r="C66" t="s">
        <v>15</v>
      </c>
      <c r="D66">
        <v>20210816</v>
      </c>
      <c r="E66">
        <v>3374.9</v>
      </c>
      <c r="G66">
        <v>2657.7246011754801</v>
      </c>
      <c r="I66">
        <v>12.2</v>
      </c>
      <c r="J66">
        <v>14.1</v>
      </c>
      <c r="K66">
        <v>12.4</v>
      </c>
      <c r="L66">
        <v>71.900000000000006</v>
      </c>
      <c r="M66">
        <v>2.4700000000000002</v>
      </c>
      <c r="N66">
        <v>40.69</v>
      </c>
      <c r="O66">
        <v>6032.6246011754802</v>
      </c>
      <c r="P66" s="5">
        <v>924</v>
      </c>
      <c r="Q66" s="5">
        <v>936</v>
      </c>
    </row>
    <row r="67" spans="1:17" hidden="1" x14ac:dyDescent="0.25">
      <c r="A67" t="s">
        <v>91</v>
      </c>
      <c r="B67" t="s">
        <v>89</v>
      </c>
      <c r="C67" t="s">
        <v>15</v>
      </c>
      <c r="D67">
        <v>20210816</v>
      </c>
      <c r="E67">
        <v>3519.5</v>
      </c>
      <c r="G67">
        <v>3021.7243920412702</v>
      </c>
      <c r="I67">
        <v>12.3</v>
      </c>
      <c r="J67">
        <v>14.6</v>
      </c>
      <c r="K67">
        <v>12.8</v>
      </c>
      <c r="L67">
        <v>72.400000000000006</v>
      </c>
      <c r="M67">
        <v>2.5550000000000002</v>
      </c>
      <c r="N67">
        <v>40.049999999999997</v>
      </c>
      <c r="O67">
        <v>6541.2243920412702</v>
      </c>
      <c r="P67" s="5">
        <v>768</v>
      </c>
      <c r="Q67" s="5">
        <v>813</v>
      </c>
    </row>
    <row r="68" spans="1:17" hidden="1" x14ac:dyDescent="0.25">
      <c r="A68" t="s">
        <v>92</v>
      </c>
      <c r="B68" t="s">
        <v>89</v>
      </c>
      <c r="C68" t="s">
        <v>15</v>
      </c>
      <c r="D68">
        <v>20210818</v>
      </c>
      <c r="E68">
        <v>3127.4</v>
      </c>
      <c r="G68">
        <v>2428.0680977053999</v>
      </c>
      <c r="I68">
        <v>12.3</v>
      </c>
      <c r="J68">
        <v>13.4</v>
      </c>
      <c r="K68">
        <v>11.8</v>
      </c>
      <c r="L68">
        <v>71.599999999999994</v>
      </c>
      <c r="M68">
        <v>2.3530000000000002</v>
      </c>
      <c r="N68">
        <v>37.67</v>
      </c>
      <c r="O68">
        <v>5555.4680977054004</v>
      </c>
      <c r="P68" s="5">
        <v>852</v>
      </c>
      <c r="Q68" s="5">
        <v>852</v>
      </c>
    </row>
    <row r="69" spans="1:17" hidden="1" x14ac:dyDescent="0.25">
      <c r="A69" t="s">
        <v>93</v>
      </c>
      <c r="B69" t="s">
        <v>89</v>
      </c>
      <c r="C69" t="s">
        <v>15</v>
      </c>
      <c r="D69">
        <v>20210816</v>
      </c>
      <c r="E69">
        <v>3106.6</v>
      </c>
      <c r="G69">
        <v>2597.1428571428601</v>
      </c>
      <c r="I69">
        <v>12.3</v>
      </c>
      <c r="J69">
        <v>14.1</v>
      </c>
      <c r="K69">
        <v>12.4</v>
      </c>
      <c r="L69">
        <v>71.900000000000006</v>
      </c>
      <c r="M69">
        <v>2.4769999999999999</v>
      </c>
      <c r="N69">
        <v>41.36</v>
      </c>
      <c r="O69">
        <v>5703.74285714286</v>
      </c>
      <c r="P69" s="5">
        <v>810</v>
      </c>
      <c r="Q69" s="5">
        <v>810</v>
      </c>
    </row>
    <row r="70" spans="1:17" hidden="1" x14ac:dyDescent="0.25">
      <c r="A70" t="s">
        <v>94</v>
      </c>
      <c r="B70" t="s">
        <v>89</v>
      </c>
      <c r="C70" t="s">
        <v>15</v>
      </c>
      <c r="D70">
        <v>20210816</v>
      </c>
      <c r="E70">
        <v>3307.3</v>
      </c>
      <c r="G70">
        <v>2484.1216216216199</v>
      </c>
      <c r="I70">
        <v>12.3</v>
      </c>
      <c r="J70">
        <v>13.7</v>
      </c>
      <c r="K70">
        <v>12</v>
      </c>
      <c r="L70">
        <v>71.400000000000006</v>
      </c>
      <c r="M70">
        <v>2.399</v>
      </c>
      <c r="N70">
        <v>40.04</v>
      </c>
      <c r="O70">
        <v>5791.42162162162</v>
      </c>
      <c r="P70" s="5">
        <v>903</v>
      </c>
      <c r="Q70" s="5">
        <v>903</v>
      </c>
    </row>
    <row r="71" spans="1:17" hidden="1" x14ac:dyDescent="0.25">
      <c r="A71" t="s">
        <v>95</v>
      </c>
      <c r="B71" t="s">
        <v>89</v>
      </c>
      <c r="C71" t="s">
        <v>15</v>
      </c>
      <c r="D71">
        <v>20210818</v>
      </c>
      <c r="E71">
        <v>3056.7</v>
      </c>
      <c r="G71">
        <v>1906.18357487923</v>
      </c>
      <c r="I71">
        <v>12.3</v>
      </c>
      <c r="J71">
        <v>14.6</v>
      </c>
      <c r="K71">
        <v>12.8</v>
      </c>
      <c r="L71">
        <v>71.5</v>
      </c>
      <c r="M71">
        <v>2.5640000000000001</v>
      </c>
      <c r="N71">
        <v>40.44</v>
      </c>
      <c r="O71">
        <v>4962.8835748792299</v>
      </c>
      <c r="P71" s="5">
        <v>446.4</v>
      </c>
      <c r="Q71" s="5">
        <v>481.6</v>
      </c>
    </row>
    <row r="72" spans="1:17" hidden="1" x14ac:dyDescent="0.25">
      <c r="A72" t="s">
        <v>96</v>
      </c>
      <c r="B72" t="s">
        <v>89</v>
      </c>
      <c r="C72" t="s">
        <v>15</v>
      </c>
      <c r="D72">
        <v>20210816</v>
      </c>
      <c r="E72">
        <v>3883.9</v>
      </c>
      <c r="G72">
        <v>2177.4113767518602</v>
      </c>
      <c r="I72">
        <v>12.2</v>
      </c>
      <c r="J72">
        <v>15.7</v>
      </c>
      <c r="K72">
        <v>13.8</v>
      </c>
      <c r="L72">
        <v>70.900000000000006</v>
      </c>
      <c r="M72">
        <v>2.75</v>
      </c>
      <c r="N72">
        <v>39.36</v>
      </c>
      <c r="O72">
        <v>6061.3113767518598</v>
      </c>
      <c r="P72" s="5">
        <v>362.59999999999997</v>
      </c>
      <c r="Q72" s="5">
        <v>401.8</v>
      </c>
    </row>
    <row r="73" spans="1:17" hidden="1" x14ac:dyDescent="0.25">
      <c r="A73" t="s">
        <v>97</v>
      </c>
      <c r="B73" t="s">
        <v>89</v>
      </c>
      <c r="C73" t="s">
        <v>15</v>
      </c>
      <c r="D73">
        <v>20210816</v>
      </c>
      <c r="E73">
        <v>3472.9</v>
      </c>
      <c r="G73">
        <v>2777.92549775209</v>
      </c>
      <c r="I73">
        <v>12.4</v>
      </c>
      <c r="J73">
        <v>14.9</v>
      </c>
      <c r="K73">
        <v>13.1</v>
      </c>
      <c r="L73">
        <v>71.400000000000006</v>
      </c>
      <c r="M73">
        <v>2.621</v>
      </c>
      <c r="N73">
        <v>38.979999999999997</v>
      </c>
      <c r="O73">
        <v>6250.8254977520901</v>
      </c>
      <c r="P73" s="5">
        <v>966.00000000000011</v>
      </c>
      <c r="Q73" s="5">
        <v>966.00000000000011</v>
      </c>
    </row>
    <row r="74" spans="1:17" x14ac:dyDescent="0.25">
      <c r="A74" t="s">
        <v>98</v>
      </c>
      <c r="B74" t="s">
        <v>89</v>
      </c>
      <c r="C74" t="s">
        <v>25</v>
      </c>
      <c r="D74">
        <v>20210816</v>
      </c>
      <c r="E74">
        <v>3691.8</v>
      </c>
      <c r="F74">
        <f t="shared" ref="F74:F76" si="14">E74/3</f>
        <v>1230.6000000000001</v>
      </c>
      <c r="G74">
        <v>2975.25464834276</v>
      </c>
      <c r="H74">
        <f t="shared" ref="H74:H76" si="15">G74/3</f>
        <v>991.75154944758663</v>
      </c>
      <c r="I74">
        <v>12.2</v>
      </c>
      <c r="J74">
        <v>14.4</v>
      </c>
      <c r="K74">
        <v>12.6</v>
      </c>
      <c r="L74">
        <v>71.3</v>
      </c>
      <c r="M74">
        <v>2.5219999999999998</v>
      </c>
      <c r="N74">
        <v>39.04</v>
      </c>
      <c r="O74">
        <v>6667.0546483427597</v>
      </c>
      <c r="P74" s="5">
        <v>921</v>
      </c>
      <c r="Q74" s="5">
        <v>921</v>
      </c>
    </row>
    <row r="75" spans="1:17" x14ac:dyDescent="0.25">
      <c r="A75" t="s">
        <v>99</v>
      </c>
      <c r="B75" t="s">
        <v>89</v>
      </c>
      <c r="C75" t="s">
        <v>49</v>
      </c>
      <c r="D75">
        <v>20210816</v>
      </c>
      <c r="E75">
        <v>3332.1</v>
      </c>
      <c r="F75">
        <f t="shared" si="14"/>
        <v>1110.7</v>
      </c>
      <c r="G75">
        <v>2947.8260869565202</v>
      </c>
      <c r="H75">
        <f t="shared" si="15"/>
        <v>982.60869565217342</v>
      </c>
      <c r="I75">
        <v>12.1</v>
      </c>
      <c r="J75">
        <v>14.9</v>
      </c>
      <c r="K75">
        <v>13</v>
      </c>
      <c r="L75">
        <v>69.7</v>
      </c>
      <c r="M75">
        <v>2.6059999999999999</v>
      </c>
      <c r="N75">
        <v>33.85</v>
      </c>
      <c r="O75">
        <v>6279.9260869565196</v>
      </c>
      <c r="P75" s="5">
        <v>825</v>
      </c>
      <c r="Q75" s="5">
        <v>837</v>
      </c>
    </row>
    <row r="76" spans="1:17" x14ac:dyDescent="0.25">
      <c r="A76" t="s">
        <v>100</v>
      </c>
      <c r="B76" t="s">
        <v>89</v>
      </c>
      <c r="C76" t="s">
        <v>27</v>
      </c>
      <c r="D76">
        <v>20210818</v>
      </c>
      <c r="E76">
        <v>2527</v>
      </c>
      <c r="F76">
        <f t="shared" si="14"/>
        <v>842.33333333333337</v>
      </c>
      <c r="G76">
        <v>2629.8489425981902</v>
      </c>
      <c r="H76">
        <f t="shared" si="15"/>
        <v>876.6163141993967</v>
      </c>
      <c r="I76">
        <v>12.4</v>
      </c>
      <c r="J76">
        <v>14.4</v>
      </c>
      <c r="K76">
        <v>12.6</v>
      </c>
      <c r="L76">
        <v>71</v>
      </c>
      <c r="M76">
        <v>2.532</v>
      </c>
      <c r="N76">
        <v>42.1</v>
      </c>
      <c r="O76">
        <v>5156.8489425981898</v>
      </c>
      <c r="P76" s="5">
        <v>885</v>
      </c>
      <c r="Q76" s="5">
        <v>885</v>
      </c>
    </row>
    <row r="77" spans="1:17" hidden="1" x14ac:dyDescent="0.25">
      <c r="A77" t="s">
        <v>101</v>
      </c>
      <c r="B77" t="s">
        <v>89</v>
      </c>
      <c r="C77" t="s">
        <v>15</v>
      </c>
      <c r="D77">
        <v>20210816</v>
      </c>
      <c r="E77">
        <v>2999.1</v>
      </c>
      <c r="G77">
        <v>2229.4616977225701</v>
      </c>
      <c r="I77">
        <v>12.3</v>
      </c>
      <c r="J77">
        <v>13.8</v>
      </c>
      <c r="K77">
        <v>12.1</v>
      </c>
      <c r="L77">
        <v>72.099999999999994</v>
      </c>
      <c r="M77">
        <v>2.4159999999999999</v>
      </c>
      <c r="N77">
        <v>38.619999999999997</v>
      </c>
      <c r="O77">
        <v>5228.56169772257</v>
      </c>
      <c r="P77" s="5">
        <v>819</v>
      </c>
      <c r="Q77" s="5">
        <v>819</v>
      </c>
    </row>
    <row r="78" spans="1:17" hidden="1" x14ac:dyDescent="0.25">
      <c r="A78" t="s">
        <v>102</v>
      </c>
      <c r="B78" t="s">
        <v>89</v>
      </c>
      <c r="C78" t="s">
        <v>15</v>
      </c>
      <c r="D78">
        <v>20210816</v>
      </c>
      <c r="E78">
        <v>2760.4</v>
      </c>
      <c r="G78">
        <v>2160.1898734177198</v>
      </c>
      <c r="I78">
        <v>12.5</v>
      </c>
      <c r="J78">
        <v>15.1</v>
      </c>
      <c r="K78">
        <v>13.3</v>
      </c>
      <c r="L78">
        <v>71.3</v>
      </c>
      <c r="M78">
        <v>2.6579999999999999</v>
      </c>
      <c r="N78">
        <v>40.15</v>
      </c>
      <c r="O78">
        <v>4920.5898734177199</v>
      </c>
      <c r="P78" s="5">
        <v>507.2</v>
      </c>
      <c r="Q78" s="5">
        <v>507.2</v>
      </c>
    </row>
    <row r="79" spans="1:17" hidden="1" x14ac:dyDescent="0.25">
      <c r="A79" t="s">
        <v>103</v>
      </c>
      <c r="B79" t="s">
        <v>89</v>
      </c>
      <c r="C79" t="s">
        <v>15</v>
      </c>
      <c r="D79">
        <v>20210816</v>
      </c>
      <c r="E79">
        <v>2897.6</v>
      </c>
      <c r="G79">
        <v>2732.2325581395298</v>
      </c>
      <c r="I79">
        <v>12.4</v>
      </c>
      <c r="J79">
        <v>15.5</v>
      </c>
      <c r="K79">
        <v>13.6</v>
      </c>
      <c r="L79">
        <v>71</v>
      </c>
      <c r="M79">
        <v>2.7210000000000001</v>
      </c>
      <c r="N79">
        <v>41.25</v>
      </c>
      <c r="O79">
        <v>5629.8325581395302</v>
      </c>
      <c r="P79" s="5">
        <v>350</v>
      </c>
      <c r="Q79" s="5">
        <v>350</v>
      </c>
    </row>
    <row r="80" spans="1:17" x14ac:dyDescent="0.25">
      <c r="A80" t="s">
        <v>104</v>
      </c>
      <c r="B80" t="s">
        <v>89</v>
      </c>
      <c r="C80" t="s">
        <v>29</v>
      </c>
      <c r="D80">
        <v>20210816</v>
      </c>
      <c r="E80">
        <v>2906.3</v>
      </c>
      <c r="F80">
        <f t="shared" ref="F80:F84" si="16">E80/3</f>
        <v>968.76666666666677</v>
      </c>
      <c r="G80">
        <v>2980.3520649966199</v>
      </c>
      <c r="H80">
        <f t="shared" ref="H80:H84" si="17">G80/3</f>
        <v>993.4506883322066</v>
      </c>
      <c r="I80">
        <v>12.4</v>
      </c>
      <c r="J80">
        <v>16.5</v>
      </c>
      <c r="K80">
        <v>14.5</v>
      </c>
      <c r="L80">
        <v>69.400000000000006</v>
      </c>
      <c r="M80">
        <v>2.8980000000000001</v>
      </c>
      <c r="N80">
        <v>41.42</v>
      </c>
      <c r="O80">
        <v>5886.6520649966196</v>
      </c>
      <c r="P80" s="5">
        <v>1026</v>
      </c>
      <c r="Q80" s="5">
        <v>1026</v>
      </c>
    </row>
    <row r="81" spans="1:17" x14ac:dyDescent="0.25">
      <c r="A81" t="s">
        <v>105</v>
      </c>
      <c r="B81" t="s">
        <v>89</v>
      </c>
      <c r="C81" t="s">
        <v>38</v>
      </c>
      <c r="D81">
        <v>20210818</v>
      </c>
      <c r="E81">
        <v>3727.5</v>
      </c>
      <c r="F81">
        <f t="shared" si="16"/>
        <v>1242.5</v>
      </c>
      <c r="G81">
        <v>3082.16624685139</v>
      </c>
      <c r="H81">
        <f t="shared" si="17"/>
        <v>1027.3887489504634</v>
      </c>
      <c r="I81">
        <v>12.2</v>
      </c>
      <c r="J81">
        <v>13.8</v>
      </c>
      <c r="K81">
        <v>12.1</v>
      </c>
      <c r="L81">
        <v>71.7</v>
      </c>
      <c r="M81">
        <v>2.4239999999999999</v>
      </c>
      <c r="N81">
        <v>38.1</v>
      </c>
      <c r="O81">
        <v>6809.6662468513896</v>
      </c>
      <c r="P81" s="5">
        <v>933</v>
      </c>
      <c r="Q81" s="5">
        <v>933</v>
      </c>
    </row>
    <row r="82" spans="1:17" x14ac:dyDescent="0.25">
      <c r="A82" t="s">
        <v>106</v>
      </c>
      <c r="B82" t="s">
        <v>89</v>
      </c>
      <c r="C82" t="s">
        <v>36</v>
      </c>
      <c r="D82">
        <v>20210816</v>
      </c>
      <c r="E82">
        <v>3206.3</v>
      </c>
      <c r="F82">
        <f t="shared" si="16"/>
        <v>1068.7666666666667</v>
      </c>
      <c r="G82">
        <v>2982.6546091015198</v>
      </c>
      <c r="H82">
        <f t="shared" si="17"/>
        <v>994.21820303383993</v>
      </c>
      <c r="I82">
        <v>12.4</v>
      </c>
      <c r="J82">
        <v>13.9</v>
      </c>
      <c r="K82">
        <v>12.2</v>
      </c>
      <c r="L82">
        <v>71.599999999999994</v>
      </c>
      <c r="M82">
        <v>2.4390000000000001</v>
      </c>
      <c r="N82">
        <v>40.43</v>
      </c>
      <c r="O82">
        <v>6188.95460910152</v>
      </c>
      <c r="P82" s="5">
        <v>909</v>
      </c>
      <c r="Q82" s="5">
        <v>909</v>
      </c>
    </row>
    <row r="83" spans="1:17" x14ac:dyDescent="0.25">
      <c r="A83" t="s">
        <v>107</v>
      </c>
      <c r="B83" t="s">
        <v>89</v>
      </c>
      <c r="C83" t="s">
        <v>40</v>
      </c>
      <c r="D83">
        <v>20210816</v>
      </c>
      <c r="E83">
        <v>3333.3</v>
      </c>
      <c r="F83">
        <f t="shared" si="16"/>
        <v>1111.1000000000001</v>
      </c>
      <c r="G83">
        <v>2761.8611746758202</v>
      </c>
      <c r="H83">
        <f t="shared" si="17"/>
        <v>920.62039155860668</v>
      </c>
      <c r="I83">
        <v>12.2</v>
      </c>
      <c r="J83">
        <v>14</v>
      </c>
      <c r="K83">
        <v>12.3</v>
      </c>
      <c r="L83">
        <v>70.599999999999994</v>
      </c>
      <c r="M83">
        <v>2.4590000000000001</v>
      </c>
      <c r="N83">
        <v>39.11</v>
      </c>
      <c r="O83">
        <v>6095.1611746758199</v>
      </c>
      <c r="P83" s="5">
        <v>894</v>
      </c>
      <c r="Q83" s="5">
        <v>912</v>
      </c>
    </row>
    <row r="84" spans="1:17" x14ac:dyDescent="0.25">
      <c r="A84" t="s">
        <v>108</v>
      </c>
      <c r="B84" t="s">
        <v>89</v>
      </c>
      <c r="C84" t="s">
        <v>47</v>
      </c>
      <c r="D84">
        <v>20210816</v>
      </c>
      <c r="E84">
        <v>3353.6</v>
      </c>
      <c r="F84">
        <f t="shared" si="16"/>
        <v>1117.8666666666666</v>
      </c>
      <c r="G84">
        <v>3021.3582166925898</v>
      </c>
      <c r="H84">
        <f t="shared" si="17"/>
        <v>1007.1194055641967</v>
      </c>
      <c r="I84">
        <v>12.1</v>
      </c>
      <c r="J84">
        <v>13.3</v>
      </c>
      <c r="K84">
        <v>11.7</v>
      </c>
      <c r="L84">
        <v>71.099999999999994</v>
      </c>
      <c r="M84">
        <v>2.3319999999999999</v>
      </c>
      <c r="N84">
        <v>41.05</v>
      </c>
      <c r="O84">
        <v>6374.9582166925902</v>
      </c>
      <c r="P84" s="5">
        <v>900</v>
      </c>
      <c r="Q84" s="5">
        <v>900</v>
      </c>
    </row>
    <row r="85" spans="1:17" hidden="1" x14ac:dyDescent="0.25">
      <c r="A85" t="s">
        <v>109</v>
      </c>
      <c r="B85" t="s">
        <v>89</v>
      </c>
      <c r="C85" t="s">
        <v>15</v>
      </c>
      <c r="D85">
        <v>20210816</v>
      </c>
      <c r="E85">
        <v>2663.7</v>
      </c>
      <c r="G85">
        <v>1979.9353796445901</v>
      </c>
      <c r="I85">
        <v>12.5</v>
      </c>
      <c r="J85">
        <v>15.6</v>
      </c>
      <c r="K85">
        <v>13.7</v>
      </c>
      <c r="L85">
        <v>70.8</v>
      </c>
      <c r="M85">
        <v>2.7389999999999999</v>
      </c>
      <c r="N85">
        <v>41.6</v>
      </c>
      <c r="O85">
        <v>4643.6353796445901</v>
      </c>
      <c r="P85" s="5">
        <v>464</v>
      </c>
      <c r="Q85" s="5">
        <v>464</v>
      </c>
    </row>
    <row r="86" spans="1:17" hidden="1" x14ac:dyDescent="0.25">
      <c r="A86" t="s">
        <v>110</v>
      </c>
      <c r="B86" t="s">
        <v>89</v>
      </c>
      <c r="C86" t="s">
        <v>15</v>
      </c>
      <c r="D86">
        <v>20210818</v>
      </c>
      <c r="E86">
        <v>3319.5</v>
      </c>
      <c r="G86">
        <v>2910.05217391304</v>
      </c>
      <c r="I86">
        <v>12.4</v>
      </c>
      <c r="J86">
        <v>15.8</v>
      </c>
      <c r="K86">
        <v>13.8</v>
      </c>
      <c r="L86">
        <v>70.400000000000006</v>
      </c>
      <c r="M86">
        <v>2.7719999999999998</v>
      </c>
      <c r="N86">
        <v>39.83</v>
      </c>
      <c r="O86">
        <v>6229.55217391304</v>
      </c>
      <c r="P86" s="5">
        <v>373.8</v>
      </c>
      <c r="Q86" s="5">
        <v>373.8</v>
      </c>
    </row>
    <row r="87" spans="1:17" x14ac:dyDescent="0.25">
      <c r="A87" t="s">
        <v>111</v>
      </c>
      <c r="B87" t="s">
        <v>89</v>
      </c>
      <c r="C87" t="s">
        <v>34</v>
      </c>
      <c r="D87">
        <v>20210818</v>
      </c>
      <c r="E87">
        <v>3894.1</v>
      </c>
      <c r="F87">
        <f t="shared" ref="F87:F91" si="18">E87/3</f>
        <v>1298.0333333333333</v>
      </c>
      <c r="G87">
        <v>2761.5652173912999</v>
      </c>
      <c r="H87">
        <f t="shared" ref="H87:H91" si="19">G87/3</f>
        <v>920.52173913043328</v>
      </c>
      <c r="I87">
        <v>12.3</v>
      </c>
      <c r="J87">
        <v>13.9</v>
      </c>
      <c r="K87">
        <v>12.2</v>
      </c>
      <c r="L87">
        <v>71.599999999999994</v>
      </c>
      <c r="M87">
        <v>2.4369999999999998</v>
      </c>
      <c r="N87">
        <v>35.26</v>
      </c>
      <c r="O87">
        <v>6655.6652173912998</v>
      </c>
      <c r="P87" s="5">
        <v>822</v>
      </c>
      <c r="Q87" s="5">
        <v>828</v>
      </c>
    </row>
    <row r="88" spans="1:17" x14ac:dyDescent="0.25">
      <c r="A88" t="s">
        <v>112</v>
      </c>
      <c r="B88" t="s">
        <v>89</v>
      </c>
      <c r="C88" t="s">
        <v>25</v>
      </c>
      <c r="D88">
        <v>20210816</v>
      </c>
      <c r="E88">
        <v>3654.3</v>
      </c>
      <c r="F88">
        <f t="shared" si="18"/>
        <v>1218.1000000000001</v>
      </c>
      <c r="G88">
        <v>3150</v>
      </c>
      <c r="H88">
        <f t="shared" si="19"/>
        <v>1050</v>
      </c>
      <c r="I88">
        <v>12.3</v>
      </c>
      <c r="J88">
        <v>14.8</v>
      </c>
      <c r="K88">
        <v>13</v>
      </c>
      <c r="L88">
        <v>71.5</v>
      </c>
      <c r="M88">
        <v>2.6</v>
      </c>
      <c r="N88">
        <v>40.57</v>
      </c>
      <c r="O88">
        <v>6804.3</v>
      </c>
      <c r="P88" s="5">
        <v>1008</v>
      </c>
      <c r="Q88" s="5">
        <v>1008</v>
      </c>
    </row>
    <row r="89" spans="1:17" x14ac:dyDescent="0.25">
      <c r="A89" t="s">
        <v>113</v>
      </c>
      <c r="B89" t="s">
        <v>89</v>
      </c>
      <c r="C89" t="s">
        <v>42</v>
      </c>
      <c r="D89">
        <v>20210816</v>
      </c>
      <c r="E89">
        <v>3188.8</v>
      </c>
      <c r="F89">
        <f t="shared" si="18"/>
        <v>1062.9333333333334</v>
      </c>
      <c r="G89">
        <v>2954.7887323943701</v>
      </c>
      <c r="H89">
        <f t="shared" si="19"/>
        <v>984.92957746478999</v>
      </c>
      <c r="I89">
        <v>12.3</v>
      </c>
      <c r="J89">
        <v>14.6</v>
      </c>
      <c r="K89">
        <v>12.8</v>
      </c>
      <c r="L89">
        <v>70.400000000000006</v>
      </c>
      <c r="M89">
        <v>2.5579999999999998</v>
      </c>
      <c r="N89">
        <v>36.97</v>
      </c>
      <c r="O89">
        <v>6143.5887323943698</v>
      </c>
      <c r="P89" s="5">
        <v>879</v>
      </c>
      <c r="Q89" s="5">
        <v>879</v>
      </c>
    </row>
    <row r="90" spans="1:17" x14ac:dyDescent="0.25">
      <c r="A90" t="s">
        <v>114</v>
      </c>
      <c r="B90" t="s">
        <v>89</v>
      </c>
      <c r="C90" t="s">
        <v>29</v>
      </c>
      <c r="D90">
        <v>20210816</v>
      </c>
      <c r="E90">
        <v>3000.9</v>
      </c>
      <c r="F90">
        <f t="shared" si="18"/>
        <v>1000.3000000000001</v>
      </c>
      <c r="G90">
        <v>2360.73446327684</v>
      </c>
      <c r="H90">
        <f t="shared" si="19"/>
        <v>786.91148775894669</v>
      </c>
      <c r="I90">
        <v>12.5</v>
      </c>
      <c r="J90">
        <v>15.9</v>
      </c>
      <c r="K90">
        <v>13.9</v>
      </c>
      <c r="L90">
        <v>69.3</v>
      </c>
      <c r="M90">
        <v>2.7919999999999998</v>
      </c>
      <c r="N90">
        <v>39.32</v>
      </c>
      <c r="O90">
        <v>5361.6344632768396</v>
      </c>
      <c r="P90" s="5">
        <v>915</v>
      </c>
      <c r="Q90" s="5">
        <v>918</v>
      </c>
    </row>
    <row r="91" spans="1:17" x14ac:dyDescent="0.25">
      <c r="A91" t="s">
        <v>115</v>
      </c>
      <c r="B91" t="s">
        <v>89</v>
      </c>
      <c r="C91" t="s">
        <v>49</v>
      </c>
      <c r="D91">
        <v>20210816</v>
      </c>
      <c r="E91">
        <v>3354.4</v>
      </c>
      <c r="F91">
        <f t="shared" si="18"/>
        <v>1118.1333333333334</v>
      </c>
      <c r="G91">
        <v>2312.29876722262</v>
      </c>
      <c r="H91">
        <f t="shared" si="19"/>
        <v>770.76625574087336</v>
      </c>
      <c r="I91">
        <v>12.1</v>
      </c>
      <c r="J91">
        <v>14.1</v>
      </c>
      <c r="K91">
        <v>12.4</v>
      </c>
      <c r="L91">
        <v>71.099999999999994</v>
      </c>
      <c r="M91">
        <v>2.4700000000000002</v>
      </c>
      <c r="N91">
        <v>35.75</v>
      </c>
      <c r="O91">
        <v>5666.6987672226296</v>
      </c>
      <c r="P91" s="5">
        <v>888</v>
      </c>
      <c r="Q91" s="5">
        <v>888</v>
      </c>
    </row>
    <row r="92" spans="1:17" hidden="1" x14ac:dyDescent="0.25">
      <c r="A92" t="s">
        <v>116</v>
      </c>
      <c r="B92" t="s">
        <v>89</v>
      </c>
      <c r="C92" t="s">
        <v>15</v>
      </c>
      <c r="D92">
        <v>20210816</v>
      </c>
      <c r="E92">
        <v>2255.5</v>
      </c>
      <c r="G92">
        <v>1855.8635394456301</v>
      </c>
      <c r="I92">
        <v>12.4</v>
      </c>
      <c r="J92">
        <v>15.8</v>
      </c>
      <c r="K92">
        <v>13.8</v>
      </c>
      <c r="L92">
        <v>71.2</v>
      </c>
      <c r="M92">
        <v>2.7730000000000001</v>
      </c>
      <c r="N92">
        <v>39.78</v>
      </c>
      <c r="O92">
        <v>4111.3635394456296</v>
      </c>
      <c r="P92" s="5">
        <v>475.2</v>
      </c>
      <c r="Q92" s="5">
        <v>475.2</v>
      </c>
    </row>
    <row r="93" spans="1:17" hidden="1" x14ac:dyDescent="0.25">
      <c r="A93" t="s">
        <v>117</v>
      </c>
      <c r="B93" t="s">
        <v>89</v>
      </c>
      <c r="C93" t="s">
        <v>15</v>
      </c>
      <c r="D93">
        <v>20210816</v>
      </c>
      <c r="E93">
        <v>3371.2</v>
      </c>
      <c r="G93">
        <v>2843.9597315436199</v>
      </c>
      <c r="I93">
        <v>12.2</v>
      </c>
      <c r="J93">
        <v>15.5</v>
      </c>
      <c r="K93">
        <v>13.6</v>
      </c>
      <c r="L93">
        <v>70.5</v>
      </c>
      <c r="M93">
        <v>2.7170000000000001</v>
      </c>
      <c r="N93">
        <v>39.770000000000003</v>
      </c>
      <c r="O93">
        <v>6215.1597315436202</v>
      </c>
      <c r="P93" s="5">
        <v>386.40000000000003</v>
      </c>
      <c r="Q93" s="5">
        <v>389.2</v>
      </c>
    </row>
    <row r="94" spans="1:17" x14ac:dyDescent="0.25">
      <c r="A94" t="s">
        <v>118</v>
      </c>
      <c r="B94" t="s">
        <v>89</v>
      </c>
      <c r="C94" t="s">
        <v>34</v>
      </c>
      <c r="D94">
        <v>20210818</v>
      </c>
      <c r="E94">
        <v>3758.3</v>
      </c>
      <c r="F94">
        <f t="shared" ref="F94:F98" si="20">E94/3</f>
        <v>1252.7666666666667</v>
      </c>
      <c r="G94">
        <v>2317.8114086146702</v>
      </c>
      <c r="H94">
        <f t="shared" ref="H94:H98" si="21">G94/3</f>
        <v>772.6038028715567</v>
      </c>
      <c r="I94">
        <v>12.4</v>
      </c>
      <c r="J94">
        <v>13.9</v>
      </c>
      <c r="K94">
        <v>12.2</v>
      </c>
      <c r="L94">
        <v>72.099999999999994</v>
      </c>
      <c r="M94">
        <v>2.4350000000000001</v>
      </c>
      <c r="N94">
        <v>34.44</v>
      </c>
      <c r="O94">
        <v>6076.1114086146699</v>
      </c>
      <c r="P94" s="5">
        <v>936</v>
      </c>
      <c r="Q94" s="5">
        <v>936</v>
      </c>
    </row>
    <row r="95" spans="1:17" x14ac:dyDescent="0.25">
      <c r="A95" t="s">
        <v>119</v>
      </c>
      <c r="B95" t="s">
        <v>89</v>
      </c>
      <c r="C95" t="s">
        <v>38</v>
      </c>
      <c r="D95">
        <v>20210816</v>
      </c>
      <c r="E95">
        <v>3424.5</v>
      </c>
      <c r="F95">
        <f t="shared" si="20"/>
        <v>1141.5</v>
      </c>
      <c r="G95">
        <v>2820.3345070422502</v>
      </c>
      <c r="H95">
        <f t="shared" si="21"/>
        <v>940.11150234741672</v>
      </c>
      <c r="I95">
        <v>12.2</v>
      </c>
      <c r="J95">
        <v>13.8</v>
      </c>
      <c r="K95">
        <v>12.1</v>
      </c>
      <c r="L95">
        <v>71.8</v>
      </c>
      <c r="M95">
        <v>2.4169999999999998</v>
      </c>
      <c r="N95">
        <v>36.729999999999997</v>
      </c>
      <c r="O95">
        <v>6244.8345070422502</v>
      </c>
      <c r="P95" s="5">
        <v>975</v>
      </c>
      <c r="Q95" s="5">
        <v>975</v>
      </c>
    </row>
    <row r="96" spans="1:17" x14ac:dyDescent="0.25">
      <c r="A96" t="s">
        <v>120</v>
      </c>
      <c r="B96" t="s">
        <v>89</v>
      </c>
      <c r="C96" t="s">
        <v>42</v>
      </c>
      <c r="D96">
        <v>20210816</v>
      </c>
      <c r="E96">
        <v>2701.3</v>
      </c>
      <c r="F96">
        <f t="shared" si="20"/>
        <v>900.43333333333339</v>
      </c>
      <c r="G96">
        <v>2388.9570552147202</v>
      </c>
      <c r="H96">
        <f t="shared" si="21"/>
        <v>796.31901840490673</v>
      </c>
      <c r="I96">
        <v>12.2</v>
      </c>
      <c r="J96">
        <v>13.7</v>
      </c>
      <c r="K96">
        <v>12</v>
      </c>
      <c r="L96">
        <v>71.5</v>
      </c>
      <c r="M96">
        <v>2.4039999999999999</v>
      </c>
      <c r="N96">
        <v>36.78</v>
      </c>
      <c r="O96">
        <v>5090.2570552147199</v>
      </c>
      <c r="P96" s="5">
        <v>900</v>
      </c>
      <c r="Q96" s="5">
        <v>906</v>
      </c>
    </row>
    <row r="97" spans="1:17" x14ac:dyDescent="0.25">
      <c r="A97" t="s">
        <v>121</v>
      </c>
      <c r="B97" t="s">
        <v>89</v>
      </c>
      <c r="C97" t="s">
        <v>36</v>
      </c>
      <c r="D97">
        <v>20210816</v>
      </c>
      <c r="E97">
        <v>3394.1</v>
      </c>
      <c r="F97">
        <f t="shared" si="20"/>
        <v>1131.3666666666666</v>
      </c>
      <c r="G97">
        <v>1836.2082262210799</v>
      </c>
      <c r="H97">
        <f t="shared" si="21"/>
        <v>612.06940874036002</v>
      </c>
      <c r="I97">
        <v>12.5</v>
      </c>
      <c r="J97">
        <v>15.1</v>
      </c>
      <c r="K97">
        <v>13.3</v>
      </c>
      <c r="L97">
        <v>70.599999999999994</v>
      </c>
      <c r="M97">
        <v>2.657</v>
      </c>
      <c r="N97">
        <v>41.67</v>
      </c>
      <c r="O97">
        <v>5230.3082262210801</v>
      </c>
      <c r="P97" s="5">
        <v>930</v>
      </c>
      <c r="Q97" s="5">
        <v>930</v>
      </c>
    </row>
    <row r="98" spans="1:17" x14ac:dyDescent="0.25">
      <c r="A98" t="s">
        <v>122</v>
      </c>
      <c r="B98" t="s">
        <v>89</v>
      </c>
      <c r="C98" t="s">
        <v>25</v>
      </c>
      <c r="D98">
        <v>20210816</v>
      </c>
      <c r="E98">
        <v>3396.5</v>
      </c>
      <c r="F98">
        <f t="shared" si="20"/>
        <v>1132.1666666666667</v>
      </c>
      <c r="G98">
        <v>2823.2826747720401</v>
      </c>
      <c r="H98">
        <f t="shared" si="21"/>
        <v>941.09422492401336</v>
      </c>
      <c r="I98">
        <v>12.4</v>
      </c>
      <c r="J98">
        <v>14.4</v>
      </c>
      <c r="K98">
        <v>12.6</v>
      </c>
      <c r="L98">
        <v>71.900000000000006</v>
      </c>
      <c r="M98">
        <v>2.5249999999999999</v>
      </c>
      <c r="N98">
        <v>41.54</v>
      </c>
      <c r="O98">
        <v>6219.7826747720401</v>
      </c>
      <c r="P98" s="5">
        <v>903</v>
      </c>
      <c r="Q98" s="5">
        <v>903</v>
      </c>
    </row>
    <row r="99" spans="1:17" hidden="1" x14ac:dyDescent="0.25">
      <c r="A99" t="s">
        <v>123</v>
      </c>
      <c r="B99" t="s">
        <v>89</v>
      </c>
      <c r="C99" t="s">
        <v>15</v>
      </c>
      <c r="D99">
        <v>20210816</v>
      </c>
      <c r="E99">
        <v>2487</v>
      </c>
      <c r="G99">
        <v>2145.1149825784</v>
      </c>
      <c r="I99">
        <v>12.4</v>
      </c>
      <c r="J99">
        <v>15.8</v>
      </c>
      <c r="K99">
        <v>13.8</v>
      </c>
      <c r="L99">
        <v>70.3</v>
      </c>
      <c r="M99">
        <v>2.7639999999999998</v>
      </c>
      <c r="N99">
        <v>41.78</v>
      </c>
      <c r="O99">
        <v>4632.1149825783996</v>
      </c>
      <c r="P99" s="5">
        <v>475.2</v>
      </c>
      <c r="Q99" s="5">
        <v>475.2</v>
      </c>
    </row>
    <row r="100" spans="1:17" hidden="1" x14ac:dyDescent="0.25">
      <c r="A100" t="s">
        <v>124</v>
      </c>
      <c r="B100" t="s">
        <v>89</v>
      </c>
      <c r="C100" t="s">
        <v>15</v>
      </c>
      <c r="D100">
        <v>20210816</v>
      </c>
      <c r="E100">
        <v>3555.9</v>
      </c>
      <c r="G100">
        <v>2856.4519056261302</v>
      </c>
      <c r="I100">
        <v>12.4</v>
      </c>
      <c r="J100">
        <v>15.5</v>
      </c>
      <c r="K100">
        <v>13.5</v>
      </c>
      <c r="L100">
        <v>71.3</v>
      </c>
      <c r="M100">
        <v>2.7120000000000002</v>
      </c>
      <c r="N100">
        <v>39.82</v>
      </c>
      <c r="O100">
        <v>6412.3519056261302</v>
      </c>
      <c r="P100" s="5">
        <v>421.40000000000003</v>
      </c>
      <c r="Q100" s="5">
        <v>421.40000000000003</v>
      </c>
    </row>
    <row r="101" spans="1:17" x14ac:dyDescent="0.25">
      <c r="A101" t="s">
        <v>125</v>
      </c>
      <c r="B101" t="s">
        <v>89</v>
      </c>
      <c r="C101" t="s">
        <v>27</v>
      </c>
      <c r="D101">
        <v>20210816</v>
      </c>
      <c r="E101">
        <v>3544.9</v>
      </c>
      <c r="F101">
        <f t="shared" ref="F101:F105" si="22">E101/3</f>
        <v>1181.6333333333334</v>
      </c>
      <c r="G101">
        <v>3099.61722488038</v>
      </c>
      <c r="H101">
        <f t="shared" ref="H101:H105" si="23">G101/3</f>
        <v>1033.2057416267933</v>
      </c>
      <c r="I101">
        <v>12.2</v>
      </c>
      <c r="J101">
        <v>15.9</v>
      </c>
      <c r="K101">
        <v>14</v>
      </c>
      <c r="L101">
        <v>70.5</v>
      </c>
      <c r="M101">
        <v>2.7959999999999998</v>
      </c>
      <c r="N101">
        <v>38.619999999999997</v>
      </c>
      <c r="O101">
        <v>6644.5172248803801</v>
      </c>
      <c r="P101" s="5">
        <v>840</v>
      </c>
      <c r="Q101" s="5">
        <v>840</v>
      </c>
    </row>
    <row r="102" spans="1:17" x14ac:dyDescent="0.25">
      <c r="A102" t="s">
        <v>126</v>
      </c>
      <c r="B102" t="s">
        <v>89</v>
      </c>
      <c r="C102" t="s">
        <v>47</v>
      </c>
      <c r="D102">
        <v>20210816</v>
      </c>
      <c r="E102">
        <v>3482.6</v>
      </c>
      <c r="F102">
        <f t="shared" si="22"/>
        <v>1160.8666666666666</v>
      </c>
      <c r="G102">
        <v>2998.3106796116499</v>
      </c>
      <c r="H102">
        <f t="shared" si="23"/>
        <v>999.4368932038833</v>
      </c>
      <c r="I102">
        <v>12.2</v>
      </c>
      <c r="J102">
        <v>14</v>
      </c>
      <c r="K102">
        <v>12.3</v>
      </c>
      <c r="L102">
        <v>70.7</v>
      </c>
      <c r="M102">
        <v>2.4620000000000002</v>
      </c>
      <c r="N102">
        <v>40.840000000000003</v>
      </c>
      <c r="O102">
        <v>6480.9106796116503</v>
      </c>
      <c r="P102" s="5">
        <v>900</v>
      </c>
      <c r="Q102" s="5">
        <v>900</v>
      </c>
    </row>
    <row r="103" spans="1:17" x14ac:dyDescent="0.25">
      <c r="A103" t="s">
        <v>127</v>
      </c>
      <c r="B103" t="s">
        <v>89</v>
      </c>
      <c r="C103" t="s">
        <v>40</v>
      </c>
      <c r="D103">
        <v>20210816</v>
      </c>
      <c r="E103">
        <v>3423.3</v>
      </c>
      <c r="F103">
        <f t="shared" si="22"/>
        <v>1141.1000000000001</v>
      </c>
      <c r="G103">
        <v>2866.95652173913</v>
      </c>
      <c r="H103">
        <f t="shared" si="23"/>
        <v>955.65217391304338</v>
      </c>
      <c r="I103">
        <v>12.3</v>
      </c>
      <c r="J103">
        <v>13.1</v>
      </c>
      <c r="K103">
        <v>11.5</v>
      </c>
      <c r="L103">
        <v>71.3</v>
      </c>
      <c r="M103">
        <v>2.2970000000000002</v>
      </c>
      <c r="N103">
        <v>40.520000000000003</v>
      </c>
      <c r="O103">
        <v>6290.2565217391302</v>
      </c>
      <c r="P103" s="5">
        <v>915</v>
      </c>
      <c r="Q103" s="5">
        <v>915</v>
      </c>
    </row>
    <row r="104" spans="1:17" x14ac:dyDescent="0.25">
      <c r="A104" t="s">
        <v>128</v>
      </c>
      <c r="B104" t="s">
        <v>89</v>
      </c>
      <c r="C104" t="s">
        <v>34</v>
      </c>
      <c r="D104">
        <v>20210816</v>
      </c>
      <c r="E104">
        <v>3554.1</v>
      </c>
      <c r="F104">
        <f t="shared" si="22"/>
        <v>1184.7</v>
      </c>
      <c r="G104">
        <v>2706.3025830258298</v>
      </c>
      <c r="H104">
        <f t="shared" si="23"/>
        <v>902.10086100860997</v>
      </c>
      <c r="I104">
        <v>12.3</v>
      </c>
      <c r="J104">
        <v>12.9</v>
      </c>
      <c r="K104">
        <v>11.3</v>
      </c>
      <c r="L104">
        <v>72.7</v>
      </c>
      <c r="M104">
        <v>2.266</v>
      </c>
      <c r="N104">
        <v>36.49</v>
      </c>
      <c r="O104">
        <v>6260.4025830258297</v>
      </c>
      <c r="P104" s="5">
        <v>867</v>
      </c>
      <c r="Q104" s="5">
        <v>867</v>
      </c>
    </row>
    <row r="105" spans="1:17" x14ac:dyDescent="0.25">
      <c r="A105" t="s">
        <v>129</v>
      </c>
      <c r="B105" t="s">
        <v>89</v>
      </c>
      <c r="C105" t="s">
        <v>36</v>
      </c>
      <c r="D105">
        <v>20210818</v>
      </c>
      <c r="F105">
        <f t="shared" si="22"/>
        <v>0</v>
      </c>
      <c r="G105">
        <v>941.35135135135101</v>
      </c>
      <c r="H105">
        <f t="shared" si="23"/>
        <v>313.78378378378369</v>
      </c>
      <c r="I105">
        <v>12.7</v>
      </c>
      <c r="J105">
        <v>14.8</v>
      </c>
      <c r="K105">
        <v>13</v>
      </c>
      <c r="L105">
        <v>70.7</v>
      </c>
      <c r="M105">
        <v>2.6019999999999999</v>
      </c>
      <c r="N105">
        <v>41.65</v>
      </c>
      <c r="P105" s="5">
        <v>900</v>
      </c>
      <c r="Q105" s="5">
        <v>900</v>
      </c>
    </row>
    <row r="106" spans="1:17" hidden="1" x14ac:dyDescent="0.25">
      <c r="A106" t="s">
        <v>130</v>
      </c>
      <c r="B106" t="s">
        <v>89</v>
      </c>
      <c r="C106" t="s">
        <v>15</v>
      </c>
      <c r="D106">
        <v>20210818</v>
      </c>
      <c r="E106">
        <v>2132.9</v>
      </c>
      <c r="G106">
        <v>1812.25985563576</v>
      </c>
      <c r="I106">
        <v>12.5</v>
      </c>
      <c r="J106">
        <v>15.6</v>
      </c>
      <c r="K106">
        <v>13.7</v>
      </c>
      <c r="L106">
        <v>70.3</v>
      </c>
      <c r="M106">
        <v>2.7410000000000001</v>
      </c>
      <c r="N106">
        <v>40.69</v>
      </c>
      <c r="O106">
        <v>3945.1598556357599</v>
      </c>
      <c r="P106" s="5">
        <v>449.6</v>
      </c>
      <c r="Q106" s="5">
        <v>448</v>
      </c>
    </row>
    <row r="107" spans="1:17" hidden="1" x14ac:dyDescent="0.25">
      <c r="A107" t="s">
        <v>131</v>
      </c>
      <c r="B107" t="s">
        <v>89</v>
      </c>
      <c r="C107" t="s">
        <v>15</v>
      </c>
      <c r="D107">
        <v>20210816</v>
      </c>
      <c r="E107">
        <v>3368.1</v>
      </c>
      <c r="G107">
        <v>2219.4989224137898</v>
      </c>
      <c r="I107">
        <v>12.3</v>
      </c>
      <c r="J107">
        <v>15.5</v>
      </c>
      <c r="K107">
        <v>13.6</v>
      </c>
      <c r="L107">
        <v>71.900000000000006</v>
      </c>
      <c r="M107">
        <v>2.726</v>
      </c>
      <c r="N107">
        <v>41.29</v>
      </c>
      <c r="O107">
        <v>5587.5989224137902</v>
      </c>
      <c r="P107" s="5">
        <v>371</v>
      </c>
      <c r="Q107" s="5">
        <v>396.2</v>
      </c>
    </row>
    <row r="108" spans="1:17" x14ac:dyDescent="0.25">
      <c r="A108" t="s">
        <v>132</v>
      </c>
      <c r="B108" t="s">
        <v>89</v>
      </c>
      <c r="C108" t="s">
        <v>40</v>
      </c>
      <c r="D108">
        <v>20210816</v>
      </c>
      <c r="E108">
        <v>3395</v>
      </c>
      <c r="F108">
        <f t="shared" ref="F108:F112" si="24">E108/3</f>
        <v>1131.6666666666667</v>
      </c>
      <c r="G108">
        <v>3201.22549019608</v>
      </c>
      <c r="H108">
        <f t="shared" ref="H108:H112" si="25">G108/3</f>
        <v>1067.0751633986933</v>
      </c>
      <c r="I108">
        <v>12.4</v>
      </c>
      <c r="J108">
        <v>15.1</v>
      </c>
      <c r="K108">
        <v>13.2</v>
      </c>
      <c r="L108">
        <v>70.599999999999994</v>
      </c>
      <c r="M108">
        <v>2.6520000000000001</v>
      </c>
      <c r="N108">
        <v>35.409999999999997</v>
      </c>
      <c r="O108">
        <v>6596.2254901960796</v>
      </c>
      <c r="P108" s="5">
        <v>819</v>
      </c>
      <c r="Q108" s="5">
        <v>819</v>
      </c>
    </row>
    <row r="109" spans="1:17" x14ac:dyDescent="0.25">
      <c r="A109" t="s">
        <v>133</v>
      </c>
      <c r="B109" t="s">
        <v>89</v>
      </c>
      <c r="C109" t="s">
        <v>25</v>
      </c>
      <c r="D109">
        <v>20210818</v>
      </c>
      <c r="E109">
        <v>3571.7</v>
      </c>
      <c r="F109">
        <f t="shared" si="24"/>
        <v>1190.5666666666666</v>
      </c>
      <c r="G109">
        <v>2974.9473684210502</v>
      </c>
      <c r="H109">
        <f t="shared" si="25"/>
        <v>991.64912280701674</v>
      </c>
      <c r="I109">
        <v>12.3</v>
      </c>
      <c r="J109">
        <v>14.9</v>
      </c>
      <c r="K109">
        <v>13</v>
      </c>
      <c r="L109">
        <v>70.8</v>
      </c>
      <c r="M109">
        <v>2.605</v>
      </c>
      <c r="N109">
        <v>37.18</v>
      </c>
      <c r="O109">
        <v>6546.6473684210496</v>
      </c>
      <c r="P109" s="5">
        <v>876</v>
      </c>
      <c r="Q109" s="5">
        <v>876</v>
      </c>
    </row>
    <row r="110" spans="1:17" x14ac:dyDescent="0.25">
      <c r="A110" t="s">
        <v>134</v>
      </c>
      <c r="B110" t="s">
        <v>89</v>
      </c>
      <c r="C110" t="s">
        <v>29</v>
      </c>
      <c r="D110">
        <v>20210816</v>
      </c>
      <c r="E110">
        <v>3208.7</v>
      </c>
      <c r="F110">
        <f t="shared" si="24"/>
        <v>1069.5666666666666</v>
      </c>
      <c r="G110">
        <v>2593.24624428478</v>
      </c>
      <c r="H110">
        <f t="shared" si="25"/>
        <v>864.4154147615933</v>
      </c>
      <c r="I110">
        <v>12.6</v>
      </c>
      <c r="J110">
        <v>13.9</v>
      </c>
      <c r="K110">
        <v>12.2</v>
      </c>
      <c r="L110">
        <v>71.3</v>
      </c>
      <c r="M110">
        <v>2.4390000000000001</v>
      </c>
      <c r="N110">
        <v>41.45</v>
      </c>
      <c r="O110">
        <v>5801.9462442847798</v>
      </c>
      <c r="P110" s="5">
        <v>906</v>
      </c>
      <c r="Q110" s="5">
        <v>906</v>
      </c>
    </row>
    <row r="111" spans="1:17" x14ac:dyDescent="0.25">
      <c r="A111" t="s">
        <v>135</v>
      </c>
      <c r="B111" t="s">
        <v>89</v>
      </c>
      <c r="C111" t="s">
        <v>27</v>
      </c>
      <c r="D111">
        <v>20210816</v>
      </c>
      <c r="E111">
        <v>3311</v>
      </c>
      <c r="F111">
        <f t="shared" si="24"/>
        <v>1103.6666666666667</v>
      </c>
      <c r="G111">
        <v>2648.2863849765299</v>
      </c>
      <c r="H111">
        <f t="shared" si="25"/>
        <v>882.76212832550993</v>
      </c>
      <c r="I111">
        <v>12.3</v>
      </c>
      <c r="J111">
        <v>14.7</v>
      </c>
      <c r="K111">
        <v>12.9</v>
      </c>
      <c r="L111">
        <v>70.599999999999994</v>
      </c>
      <c r="M111">
        <v>2.585</v>
      </c>
      <c r="N111">
        <v>42.79</v>
      </c>
      <c r="O111">
        <v>5959.2863849765299</v>
      </c>
      <c r="P111" s="5">
        <v>942</v>
      </c>
      <c r="Q111" s="5">
        <v>942</v>
      </c>
    </row>
    <row r="112" spans="1:17" x14ac:dyDescent="0.25">
      <c r="A112" t="s">
        <v>136</v>
      </c>
      <c r="B112" t="s">
        <v>89</v>
      </c>
      <c r="C112" t="s">
        <v>42</v>
      </c>
      <c r="D112">
        <v>20210816</v>
      </c>
      <c r="E112">
        <v>3718</v>
      </c>
      <c r="F112">
        <f t="shared" si="24"/>
        <v>1239.3333333333333</v>
      </c>
      <c r="G112">
        <v>3089.5641344956398</v>
      </c>
      <c r="H112">
        <f t="shared" si="25"/>
        <v>1029.8547114985465</v>
      </c>
      <c r="I112">
        <v>12.4</v>
      </c>
      <c r="J112">
        <v>14.5</v>
      </c>
      <c r="K112">
        <v>12.7</v>
      </c>
      <c r="L112">
        <v>71.2</v>
      </c>
      <c r="M112">
        <v>2.5390000000000001</v>
      </c>
      <c r="N112">
        <v>40.65</v>
      </c>
      <c r="O112">
        <v>6807.5641344956402</v>
      </c>
      <c r="P112" s="5">
        <v>912</v>
      </c>
      <c r="Q112" s="5">
        <v>912</v>
      </c>
    </row>
    <row r="113" spans="1:17" hidden="1" x14ac:dyDescent="0.25">
      <c r="A113" t="s">
        <v>137</v>
      </c>
      <c r="B113" t="s">
        <v>89</v>
      </c>
      <c r="C113" t="s">
        <v>15</v>
      </c>
      <c r="D113">
        <v>20210818</v>
      </c>
      <c r="E113">
        <v>2013.5</v>
      </c>
      <c r="G113">
        <v>1933.51093662367</v>
      </c>
      <c r="I113">
        <v>12.5</v>
      </c>
      <c r="J113">
        <v>15.6</v>
      </c>
      <c r="K113">
        <v>13.7</v>
      </c>
      <c r="L113">
        <v>70.5</v>
      </c>
      <c r="M113">
        <v>2.7410000000000001</v>
      </c>
      <c r="N113">
        <v>37.67</v>
      </c>
      <c r="O113">
        <v>3947.0109366236702</v>
      </c>
      <c r="P113" s="5">
        <v>441.6</v>
      </c>
      <c r="Q113" s="5">
        <v>441.6</v>
      </c>
    </row>
    <row r="114" spans="1:17" hidden="1" x14ac:dyDescent="0.25">
      <c r="A114" t="s">
        <v>138</v>
      </c>
      <c r="B114" t="s">
        <v>89</v>
      </c>
      <c r="C114" t="s">
        <v>15</v>
      </c>
      <c r="D114">
        <v>20210816</v>
      </c>
      <c r="E114">
        <v>3086.6</v>
      </c>
      <c r="G114">
        <v>2265.2912621359201</v>
      </c>
      <c r="I114">
        <v>12.3</v>
      </c>
      <c r="J114">
        <v>15.2</v>
      </c>
      <c r="K114">
        <v>13.3</v>
      </c>
      <c r="L114">
        <v>71.8</v>
      </c>
      <c r="M114">
        <v>2.669</v>
      </c>
      <c r="N114">
        <v>42.17</v>
      </c>
      <c r="O114">
        <v>5351.8912621359204</v>
      </c>
      <c r="P114" s="5">
        <v>355.59999999999997</v>
      </c>
      <c r="Q114" s="5">
        <v>371</v>
      </c>
    </row>
    <row r="115" spans="1:17" hidden="1" x14ac:dyDescent="0.25">
      <c r="A115" t="s">
        <v>139</v>
      </c>
      <c r="B115" t="s">
        <v>89</v>
      </c>
      <c r="C115" t="s">
        <v>15</v>
      </c>
      <c r="D115">
        <v>20210816</v>
      </c>
      <c r="E115">
        <v>3536.5</v>
      </c>
      <c r="G115">
        <v>2913.0521091811402</v>
      </c>
      <c r="I115">
        <v>12.5</v>
      </c>
      <c r="J115">
        <v>15.2</v>
      </c>
      <c r="K115">
        <v>13.3</v>
      </c>
      <c r="L115">
        <v>71.400000000000006</v>
      </c>
      <c r="M115">
        <v>2.6720000000000002</v>
      </c>
      <c r="N115">
        <v>39.94</v>
      </c>
      <c r="O115">
        <v>6449.5521091811397</v>
      </c>
      <c r="P115" s="5">
        <v>930</v>
      </c>
      <c r="Q115" s="5">
        <v>930</v>
      </c>
    </row>
    <row r="116" spans="1:17" x14ac:dyDescent="0.25">
      <c r="A116" t="s">
        <v>140</v>
      </c>
      <c r="B116" t="s">
        <v>89</v>
      </c>
      <c r="C116" t="s">
        <v>47</v>
      </c>
      <c r="D116">
        <v>20210816</v>
      </c>
      <c r="E116">
        <v>3751.4</v>
      </c>
      <c r="F116">
        <f t="shared" ref="F116:F118" si="26">E116/3</f>
        <v>1250.4666666666667</v>
      </c>
      <c r="G116">
        <v>2667.7285318559598</v>
      </c>
      <c r="H116">
        <f t="shared" ref="H116:H118" si="27">G116/3</f>
        <v>889.24284395198663</v>
      </c>
      <c r="I116">
        <v>12.2</v>
      </c>
      <c r="J116">
        <v>13.4</v>
      </c>
      <c r="K116">
        <v>11.8</v>
      </c>
      <c r="L116">
        <v>71.2</v>
      </c>
      <c r="M116">
        <v>2.351</v>
      </c>
      <c r="N116">
        <v>43.44</v>
      </c>
      <c r="O116">
        <v>6419.1285318559603</v>
      </c>
      <c r="P116" s="5">
        <v>831</v>
      </c>
      <c r="Q116" s="5">
        <v>831</v>
      </c>
    </row>
    <row r="117" spans="1:17" x14ac:dyDescent="0.25">
      <c r="A117" t="s">
        <v>141</v>
      </c>
      <c r="B117" t="s">
        <v>89</v>
      </c>
      <c r="C117" t="s">
        <v>49</v>
      </c>
      <c r="D117">
        <v>20210816</v>
      </c>
      <c r="E117">
        <v>3453.4</v>
      </c>
      <c r="F117">
        <f t="shared" si="26"/>
        <v>1151.1333333333334</v>
      </c>
      <c r="G117">
        <v>3089.0335846470198</v>
      </c>
      <c r="H117">
        <f t="shared" si="27"/>
        <v>1029.6778615490066</v>
      </c>
      <c r="I117">
        <v>12.3</v>
      </c>
      <c r="J117">
        <v>13.9</v>
      </c>
      <c r="K117">
        <v>12.2</v>
      </c>
      <c r="L117">
        <v>70.400000000000006</v>
      </c>
      <c r="M117">
        <v>2.444</v>
      </c>
      <c r="N117">
        <v>34.75</v>
      </c>
      <c r="O117">
        <v>6542.4335846470203</v>
      </c>
      <c r="P117" s="5">
        <v>939</v>
      </c>
      <c r="Q117" s="5">
        <v>939</v>
      </c>
    </row>
    <row r="118" spans="1:17" x14ac:dyDescent="0.25">
      <c r="A118" t="s">
        <v>142</v>
      </c>
      <c r="B118" t="s">
        <v>89</v>
      </c>
      <c r="C118" t="s">
        <v>38</v>
      </c>
      <c r="D118">
        <v>20210816</v>
      </c>
      <c r="E118">
        <v>3537.5</v>
      </c>
      <c r="F118">
        <f t="shared" si="26"/>
        <v>1179.1666666666667</v>
      </c>
      <c r="G118">
        <v>2642.5285810356399</v>
      </c>
      <c r="H118">
        <f t="shared" si="27"/>
        <v>880.84286034521335</v>
      </c>
      <c r="I118">
        <v>12.4</v>
      </c>
      <c r="J118">
        <v>13.8</v>
      </c>
      <c r="K118">
        <v>12.1</v>
      </c>
      <c r="L118">
        <v>72.099999999999994</v>
      </c>
      <c r="M118">
        <v>2.4249999999999998</v>
      </c>
      <c r="N118">
        <v>38.25</v>
      </c>
      <c r="O118">
        <v>6180.0285810356399</v>
      </c>
      <c r="P118" s="5">
        <v>930</v>
      </c>
      <c r="Q118" s="5">
        <v>930</v>
      </c>
    </row>
    <row r="119" spans="1:17" hidden="1" x14ac:dyDescent="0.25">
      <c r="A119" t="s">
        <v>143</v>
      </c>
      <c r="B119" t="s">
        <v>89</v>
      </c>
      <c r="C119" t="s">
        <v>15</v>
      </c>
      <c r="D119">
        <v>20210816</v>
      </c>
      <c r="E119">
        <v>3211.2</v>
      </c>
      <c r="G119">
        <v>2610.59602649007</v>
      </c>
      <c r="I119">
        <v>12.3</v>
      </c>
      <c r="J119">
        <v>14.6</v>
      </c>
      <c r="K119">
        <v>12.8</v>
      </c>
      <c r="L119">
        <v>71.900000000000006</v>
      </c>
      <c r="M119">
        <v>2.569</v>
      </c>
      <c r="N119">
        <v>40.83</v>
      </c>
      <c r="O119">
        <v>5821.7960264900703</v>
      </c>
      <c r="P119" s="5">
        <v>876</v>
      </c>
      <c r="Q119" s="5">
        <v>876</v>
      </c>
    </row>
    <row r="120" spans="1:17" hidden="1" x14ac:dyDescent="0.25">
      <c r="A120" t="s">
        <v>144</v>
      </c>
      <c r="B120" t="s">
        <v>89</v>
      </c>
      <c r="C120" t="s">
        <v>15</v>
      </c>
      <c r="D120">
        <v>20210816</v>
      </c>
      <c r="E120">
        <v>2810.7</v>
      </c>
      <c r="G120">
        <v>2298.0645161290299</v>
      </c>
      <c r="I120">
        <v>12.2</v>
      </c>
      <c r="J120">
        <v>15.6</v>
      </c>
      <c r="K120">
        <v>13.7</v>
      </c>
      <c r="L120">
        <v>70.400000000000006</v>
      </c>
      <c r="M120">
        <v>2.7410000000000001</v>
      </c>
      <c r="N120">
        <v>39.36</v>
      </c>
      <c r="O120">
        <v>5108.7645161290302</v>
      </c>
      <c r="P120" s="5">
        <v>440</v>
      </c>
      <c r="Q120" s="5">
        <v>440</v>
      </c>
    </row>
    <row r="121" spans="1:17" hidden="1" x14ac:dyDescent="0.25">
      <c r="A121" t="s">
        <v>145</v>
      </c>
      <c r="B121" t="s">
        <v>89</v>
      </c>
      <c r="C121" t="s">
        <v>15</v>
      </c>
      <c r="D121">
        <v>20210818</v>
      </c>
      <c r="E121">
        <v>3945</v>
      </c>
      <c r="G121">
        <v>3150.9711538461502</v>
      </c>
      <c r="I121">
        <v>12.4</v>
      </c>
      <c r="J121">
        <v>15.4</v>
      </c>
      <c r="K121">
        <v>13.5</v>
      </c>
      <c r="L121">
        <v>70.8</v>
      </c>
      <c r="M121">
        <v>2.6970000000000001</v>
      </c>
      <c r="N121">
        <v>39.46</v>
      </c>
      <c r="O121">
        <v>7095.9711538461497</v>
      </c>
      <c r="P121" s="5">
        <v>392</v>
      </c>
      <c r="Q121" s="5">
        <v>399</v>
      </c>
    </row>
    <row r="122" spans="1:17" hidden="1" x14ac:dyDescent="0.25">
      <c r="A122" t="s">
        <v>146</v>
      </c>
      <c r="B122" t="s">
        <v>89</v>
      </c>
      <c r="C122" t="s">
        <v>15</v>
      </c>
      <c r="D122">
        <v>20210818</v>
      </c>
      <c r="E122">
        <v>3562.1</v>
      </c>
      <c r="G122">
        <v>3057.8808864265902</v>
      </c>
      <c r="I122">
        <v>12.5</v>
      </c>
      <c r="J122">
        <v>14.5</v>
      </c>
      <c r="K122">
        <v>12.7</v>
      </c>
      <c r="L122">
        <v>71.599999999999994</v>
      </c>
      <c r="M122">
        <v>2.5369999999999999</v>
      </c>
      <c r="N122">
        <v>39.76</v>
      </c>
      <c r="O122">
        <v>6619.9808864265897</v>
      </c>
      <c r="P122" s="5">
        <v>903</v>
      </c>
      <c r="Q122" s="5">
        <v>903</v>
      </c>
    </row>
    <row r="123" spans="1:17" hidden="1" x14ac:dyDescent="0.25">
      <c r="A123" t="s">
        <v>147</v>
      </c>
      <c r="B123" t="s">
        <v>89</v>
      </c>
      <c r="C123" t="s">
        <v>15</v>
      </c>
      <c r="D123">
        <v>20210816</v>
      </c>
      <c r="E123">
        <v>3161</v>
      </c>
      <c r="G123">
        <v>2378.7400318979298</v>
      </c>
      <c r="I123">
        <v>12.3</v>
      </c>
      <c r="J123">
        <v>15.2</v>
      </c>
      <c r="K123">
        <v>13.4</v>
      </c>
      <c r="L123">
        <v>71.099999999999994</v>
      </c>
      <c r="M123">
        <v>2.6720000000000002</v>
      </c>
      <c r="N123">
        <v>39.85</v>
      </c>
      <c r="O123">
        <v>5539.7400318979298</v>
      </c>
      <c r="P123" s="5">
        <v>897</v>
      </c>
      <c r="Q123" s="5">
        <v>897</v>
      </c>
    </row>
    <row r="124" spans="1:17" hidden="1" x14ac:dyDescent="0.25">
      <c r="A124" t="s">
        <v>148</v>
      </c>
      <c r="B124" t="s">
        <v>89</v>
      </c>
      <c r="C124" t="s">
        <v>15</v>
      </c>
      <c r="D124">
        <v>20210816</v>
      </c>
      <c r="E124">
        <v>3070.7</v>
      </c>
      <c r="G124">
        <v>2436.5714285714298</v>
      </c>
      <c r="I124">
        <v>12.3</v>
      </c>
      <c r="J124">
        <v>14.7</v>
      </c>
      <c r="K124">
        <v>12.9</v>
      </c>
      <c r="L124">
        <v>71.5</v>
      </c>
      <c r="M124">
        <v>2.5840000000000001</v>
      </c>
      <c r="N124">
        <v>39.26</v>
      </c>
      <c r="O124">
        <v>5507.2714285714301</v>
      </c>
      <c r="P124" s="5">
        <v>888</v>
      </c>
      <c r="Q124" s="5">
        <v>888</v>
      </c>
    </row>
    <row r="125" spans="1:17" hidden="1" x14ac:dyDescent="0.25">
      <c r="A125" t="s">
        <v>149</v>
      </c>
      <c r="B125" t="s">
        <v>89</v>
      </c>
      <c r="C125" t="s">
        <v>15</v>
      </c>
      <c r="D125">
        <v>20210816</v>
      </c>
      <c r="E125">
        <v>2852.5</v>
      </c>
      <c r="G125">
        <v>2151.9909502262399</v>
      </c>
      <c r="I125">
        <v>12.4</v>
      </c>
      <c r="J125">
        <v>16</v>
      </c>
      <c r="K125">
        <v>14</v>
      </c>
      <c r="L125">
        <v>70.7</v>
      </c>
      <c r="M125">
        <v>2.8090000000000002</v>
      </c>
      <c r="N125">
        <v>39.33</v>
      </c>
      <c r="O125">
        <v>5004.4909502262399</v>
      </c>
      <c r="P125" s="5">
        <v>846</v>
      </c>
      <c r="Q125" s="5">
        <v>861</v>
      </c>
    </row>
    <row r="126" spans="1:17" hidden="1" x14ac:dyDescent="0.25">
      <c r="A126" t="s">
        <v>150</v>
      </c>
      <c r="B126" t="s">
        <v>89</v>
      </c>
      <c r="C126" t="s">
        <v>15</v>
      </c>
      <c r="D126">
        <v>20210816</v>
      </c>
      <c r="E126">
        <v>3526.6</v>
      </c>
      <c r="G126">
        <v>2770.5882352941198</v>
      </c>
      <c r="I126">
        <v>12.4</v>
      </c>
      <c r="J126">
        <v>14.4</v>
      </c>
      <c r="K126">
        <v>12.6</v>
      </c>
      <c r="L126">
        <v>71.900000000000006</v>
      </c>
      <c r="M126">
        <v>2.5219999999999998</v>
      </c>
      <c r="N126">
        <v>40.090000000000003</v>
      </c>
      <c r="O126">
        <v>6297.1882352941202</v>
      </c>
      <c r="P126" s="5">
        <v>861</v>
      </c>
      <c r="Q126" s="5">
        <v>915</v>
      </c>
    </row>
    <row r="127" spans="1:17" hidden="1" x14ac:dyDescent="0.25">
      <c r="A127" t="s">
        <v>151</v>
      </c>
      <c r="B127" t="s">
        <v>89</v>
      </c>
      <c r="C127" t="s">
        <v>15</v>
      </c>
      <c r="D127">
        <v>20210818</v>
      </c>
      <c r="E127">
        <v>2759.9</v>
      </c>
      <c r="G127">
        <v>1941.3880126183001</v>
      </c>
      <c r="I127">
        <v>12.4</v>
      </c>
      <c r="J127">
        <v>15.6</v>
      </c>
      <c r="K127">
        <v>13.6</v>
      </c>
      <c r="L127">
        <v>70.599999999999994</v>
      </c>
      <c r="M127">
        <v>2.7309999999999999</v>
      </c>
      <c r="N127">
        <v>38.69</v>
      </c>
      <c r="O127">
        <v>4701.2880126182999</v>
      </c>
      <c r="P127" s="5">
        <v>476.8</v>
      </c>
      <c r="Q127" s="5">
        <v>476.8</v>
      </c>
    </row>
  </sheetData>
  <autoFilter ref="A1:Q127" xr:uid="{6FCA1E9B-3971-4D99-92C8-D2CFC1C36108}">
    <filterColumn colId="2">
      <filters>
        <filter val="Apostel"/>
        <filter val="Asory"/>
        <filter val="Campesino"/>
        <filter val="Foxx"/>
        <filter val="Hyvega"/>
        <filter val="Informer"/>
        <filter val="KWS Emerick"/>
        <filter val="LG Initial"/>
        <filter val="Moschus"/>
        <filter val="RGT Reform"/>
      </filters>
    </filterColumn>
  </autoFilter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19D53-4FD7-C44E-A506-FEC304AF2017}">
  <dimension ref="A3:H100"/>
  <sheetViews>
    <sheetView workbookViewId="0">
      <selection activeCell="B20" sqref="B20"/>
    </sheetView>
  </sheetViews>
  <sheetFormatPr baseColWidth="10" defaultRowHeight="15" x14ac:dyDescent="0.25"/>
  <cols>
    <col min="1" max="1" width="27.5703125" bestFit="1" customWidth="1"/>
    <col min="2" max="2" width="23.7109375" bestFit="1" customWidth="1"/>
    <col min="3" max="3" width="12.85546875" bestFit="1" customWidth="1"/>
    <col min="4" max="4" width="6.28515625" bestFit="1" customWidth="1"/>
    <col min="5" max="5" width="15.5703125" bestFit="1" customWidth="1"/>
    <col min="6" max="6" width="21.42578125" customWidth="1"/>
    <col min="7" max="7" width="15.85546875" bestFit="1" customWidth="1"/>
  </cols>
  <sheetData>
    <row r="3" spans="1:6" x14ac:dyDescent="0.25">
      <c r="A3" s="2" t="s">
        <v>162</v>
      </c>
      <c r="B3" s="2" t="s">
        <v>158</v>
      </c>
    </row>
    <row r="4" spans="1:6" x14ac:dyDescent="0.25">
      <c r="A4" s="2" t="s">
        <v>159</v>
      </c>
      <c r="B4" t="s">
        <v>14</v>
      </c>
      <c r="C4" t="s">
        <v>89</v>
      </c>
      <c r="D4" t="s">
        <v>160</v>
      </c>
      <c r="E4" t="s">
        <v>161</v>
      </c>
    </row>
    <row r="5" spans="1:6" x14ac:dyDescent="0.25">
      <c r="A5" s="3" t="s">
        <v>27</v>
      </c>
      <c r="B5" s="1">
        <v>981.32222222222208</v>
      </c>
      <c r="C5" s="1">
        <v>1042.5444444444445</v>
      </c>
      <c r="D5" s="1"/>
      <c r="E5" s="1">
        <v>1011.9333333333334</v>
      </c>
      <c r="F5" s="1"/>
    </row>
    <row r="6" spans="1:6" x14ac:dyDescent="0.25">
      <c r="A6" s="3" t="s">
        <v>38</v>
      </c>
      <c r="B6" s="1">
        <v>709.5777777777779</v>
      </c>
      <c r="C6" s="1">
        <v>1187.7222222222224</v>
      </c>
      <c r="D6" s="1"/>
      <c r="E6" s="1">
        <v>948.65000000000009</v>
      </c>
      <c r="F6" s="1"/>
    </row>
    <row r="7" spans="1:6" x14ac:dyDescent="0.25">
      <c r="A7" s="3" t="s">
        <v>34</v>
      </c>
      <c r="B7" s="1">
        <v>1031.1888888888891</v>
      </c>
      <c r="C7" s="1">
        <v>1245.1666666666667</v>
      </c>
      <c r="D7" s="1"/>
      <c r="E7" s="1">
        <v>1138.1777777777777</v>
      </c>
      <c r="F7" s="1"/>
    </row>
    <row r="8" spans="1:6" x14ac:dyDescent="0.25">
      <c r="A8" s="3" t="s">
        <v>42</v>
      </c>
      <c r="B8" s="1">
        <v>1009.8000000000001</v>
      </c>
      <c r="C8" s="1">
        <v>1067.5666666666666</v>
      </c>
      <c r="D8" s="1"/>
      <c r="E8" s="1">
        <v>1038.6833333333332</v>
      </c>
      <c r="F8" s="1"/>
    </row>
    <row r="9" spans="1:6" x14ac:dyDescent="0.25">
      <c r="A9" s="3" t="s">
        <v>40</v>
      </c>
      <c r="B9" s="1">
        <v>1156.3111111111111</v>
      </c>
      <c r="C9" s="1">
        <v>1127.9555555555555</v>
      </c>
      <c r="D9" s="1"/>
      <c r="E9" s="1">
        <v>1142.1333333333334</v>
      </c>
      <c r="F9" s="1"/>
    </row>
    <row r="10" spans="1:6" x14ac:dyDescent="0.25">
      <c r="A10" s="3" t="s">
        <v>47</v>
      </c>
      <c r="B10" s="1">
        <v>1102.2444444444445</v>
      </c>
      <c r="C10" s="1">
        <v>1176.3999999999999</v>
      </c>
      <c r="D10" s="1"/>
      <c r="E10" s="1">
        <v>1139.3222222222223</v>
      </c>
      <c r="F10" s="1"/>
    </row>
    <row r="11" spans="1:6" x14ac:dyDescent="0.25">
      <c r="A11" s="3" t="s">
        <v>29</v>
      </c>
      <c r="B11" s="1">
        <v>1010.4999999999999</v>
      </c>
      <c r="C11" s="1">
        <v>1012.8777777777777</v>
      </c>
      <c r="D11" s="1"/>
      <c r="E11" s="1">
        <v>1011.6888888888889</v>
      </c>
      <c r="F11" s="1"/>
    </row>
    <row r="12" spans="1:6" x14ac:dyDescent="0.25">
      <c r="A12" s="3" t="s">
        <v>49</v>
      </c>
      <c r="B12" s="1">
        <v>1062.9666666666665</v>
      </c>
      <c r="C12" s="1">
        <v>1126.6555555555558</v>
      </c>
      <c r="D12" s="1"/>
      <c r="E12" s="1">
        <v>1094.8111111111109</v>
      </c>
      <c r="F12" s="1"/>
    </row>
    <row r="13" spans="1:6" x14ac:dyDescent="0.25">
      <c r="A13" s="3" t="s">
        <v>36</v>
      </c>
      <c r="B13" s="1">
        <v>1038.1111111111111</v>
      </c>
      <c r="C13" s="1">
        <v>733.37777777777774</v>
      </c>
      <c r="D13" s="1"/>
      <c r="E13" s="1">
        <v>885.74444444444441</v>
      </c>
      <c r="F13" s="1"/>
    </row>
    <row r="14" spans="1:6" x14ac:dyDescent="0.25">
      <c r="A14" s="3" t="s">
        <v>25</v>
      </c>
      <c r="B14" s="1">
        <v>1070.3111111111111</v>
      </c>
      <c r="C14" s="1">
        <v>1192.8583333333333</v>
      </c>
      <c r="D14" s="1"/>
      <c r="E14" s="1">
        <v>1140.3380952380953</v>
      </c>
      <c r="F14" s="1"/>
    </row>
    <row r="15" spans="1:6" x14ac:dyDescent="0.25">
      <c r="A15" s="3" t="s">
        <v>15</v>
      </c>
      <c r="B15" s="1"/>
      <c r="C15" s="1"/>
      <c r="D15" s="1"/>
      <c r="E15" s="1"/>
      <c r="F15" s="1"/>
    </row>
    <row r="16" spans="1:6" x14ac:dyDescent="0.25">
      <c r="A16" s="3" t="s">
        <v>160</v>
      </c>
      <c r="B16" s="1"/>
      <c r="C16" s="1"/>
      <c r="D16" s="1"/>
      <c r="E16" s="1"/>
      <c r="F16" s="1"/>
    </row>
    <row r="17" spans="1:6" x14ac:dyDescent="0.25">
      <c r="A17" s="3" t="s">
        <v>161</v>
      </c>
      <c r="B17" s="1">
        <v>1017.2333333333333</v>
      </c>
      <c r="C17" s="1">
        <v>1094.5881720430107</v>
      </c>
      <c r="D17" s="1"/>
      <c r="E17" s="1">
        <v>1056.5448087431694</v>
      </c>
      <c r="F17" s="1"/>
    </row>
    <row r="19" spans="1:6" x14ac:dyDescent="0.25">
      <c r="B19">
        <f>GETPIVOTDATA("Yield_per_m2",$A$3,"Treatment","elevated CO2")/GETPIVOTDATA("Yield_per_m2",$A$3,"Treatment","Control")</f>
        <v>1.0760443412291614</v>
      </c>
    </row>
    <row r="24" spans="1:6" x14ac:dyDescent="0.25">
      <c r="A24" s="3" t="s">
        <v>27</v>
      </c>
      <c r="B24" s="1">
        <v>8831.9</v>
      </c>
      <c r="C24" s="1">
        <v>9382.9</v>
      </c>
      <c r="D24">
        <f>C24/B24</f>
        <v>1.0623874817423204</v>
      </c>
    </row>
    <row r="25" spans="1:6" x14ac:dyDescent="0.25">
      <c r="A25" s="3" t="s">
        <v>38</v>
      </c>
      <c r="B25" s="1">
        <v>6386.2000000000007</v>
      </c>
      <c r="C25" s="1">
        <v>10689.5</v>
      </c>
      <c r="D25">
        <f t="shared" ref="D25:D33" si="0">C25/B25</f>
        <v>1.673843600263067</v>
      </c>
    </row>
    <row r="26" spans="1:6" x14ac:dyDescent="0.25">
      <c r="A26" s="3" t="s">
        <v>34</v>
      </c>
      <c r="B26" s="1">
        <v>9280.7000000000007</v>
      </c>
      <c r="C26" s="1">
        <v>11206.5</v>
      </c>
      <c r="D26">
        <f t="shared" si="0"/>
        <v>1.2075058993394894</v>
      </c>
    </row>
    <row r="27" spans="1:6" x14ac:dyDescent="0.25">
      <c r="A27" s="3" t="s">
        <v>42</v>
      </c>
      <c r="B27" s="1">
        <v>9088.2000000000007</v>
      </c>
      <c r="C27" s="1">
        <v>9608.1</v>
      </c>
      <c r="D27">
        <f t="shared" si="0"/>
        <v>1.0572060474021259</v>
      </c>
    </row>
    <row r="28" spans="1:6" x14ac:dyDescent="0.25">
      <c r="A28" s="3" t="s">
        <v>40</v>
      </c>
      <c r="B28" s="1">
        <v>10406.799999999999</v>
      </c>
      <c r="C28" s="1">
        <v>10151.6</v>
      </c>
      <c r="D28">
        <f t="shared" si="0"/>
        <v>0.9754775723565362</v>
      </c>
    </row>
    <row r="29" spans="1:6" x14ac:dyDescent="0.25">
      <c r="A29" s="3" t="s">
        <v>47</v>
      </c>
      <c r="B29" s="1">
        <v>9920.2000000000007</v>
      </c>
      <c r="C29" s="1">
        <v>10587.6</v>
      </c>
      <c r="D29">
        <f t="shared" si="0"/>
        <v>1.0672768694179553</v>
      </c>
    </row>
    <row r="30" spans="1:6" x14ac:dyDescent="0.25">
      <c r="A30" s="3" t="s">
        <v>29</v>
      </c>
      <c r="B30" s="1">
        <v>9094.5</v>
      </c>
      <c r="C30" s="1">
        <v>9115.9000000000015</v>
      </c>
      <c r="D30">
        <f t="shared" si="0"/>
        <v>1.002353070537138</v>
      </c>
    </row>
    <row r="31" spans="1:6" x14ac:dyDescent="0.25">
      <c r="A31" s="3" t="s">
        <v>49</v>
      </c>
      <c r="B31" s="1">
        <v>9566.7000000000007</v>
      </c>
      <c r="C31" s="1">
        <v>10139.9</v>
      </c>
      <c r="D31">
        <f t="shared" si="0"/>
        <v>1.0599161675394857</v>
      </c>
    </row>
    <row r="32" spans="1:6" x14ac:dyDescent="0.25">
      <c r="A32" s="3" t="s">
        <v>36</v>
      </c>
      <c r="B32" s="1">
        <v>9343</v>
      </c>
      <c r="C32" s="1">
        <v>6600.4</v>
      </c>
      <c r="D32">
        <f t="shared" si="0"/>
        <v>0.70645402975489668</v>
      </c>
    </row>
    <row r="33" spans="1:8" x14ac:dyDescent="0.25">
      <c r="A33" s="3" t="s">
        <v>25</v>
      </c>
      <c r="B33" s="1">
        <v>9632.7999999999993</v>
      </c>
      <c r="C33" s="1">
        <v>14314.3</v>
      </c>
      <c r="D33">
        <f t="shared" si="0"/>
        <v>1.4859957644713895</v>
      </c>
    </row>
    <row r="34" spans="1:8" x14ac:dyDescent="0.25">
      <c r="A34" s="3" t="s">
        <v>15</v>
      </c>
      <c r="B34" s="1">
        <v>104146.50000000001</v>
      </c>
    </row>
    <row r="39" spans="1:8" x14ac:dyDescent="0.25">
      <c r="A39" t="s">
        <v>0</v>
      </c>
      <c r="B39" t="s">
        <v>1</v>
      </c>
      <c r="C39" t="s">
        <v>2</v>
      </c>
      <c r="D39" t="s">
        <v>3</v>
      </c>
      <c r="E39" t="s">
        <v>4</v>
      </c>
      <c r="F39" t="s">
        <v>154</v>
      </c>
      <c r="G39" t="s">
        <v>5</v>
      </c>
      <c r="H39" t="s">
        <v>155</v>
      </c>
    </row>
    <row r="40" spans="1:8" x14ac:dyDescent="0.25">
      <c r="A40" t="s">
        <v>24</v>
      </c>
      <c r="B40" t="s">
        <v>14</v>
      </c>
      <c r="C40" t="s">
        <v>25</v>
      </c>
      <c r="D40">
        <v>20210816</v>
      </c>
      <c r="E40">
        <v>3288.7</v>
      </c>
      <c r="F40">
        <f>E40/3</f>
        <v>1096.2333333333333</v>
      </c>
      <c r="G40">
        <v>2707.1375464684002</v>
      </c>
    </row>
    <row r="41" spans="1:8" x14ac:dyDescent="0.25">
      <c r="A41" t="s">
        <v>26</v>
      </c>
      <c r="B41" t="s">
        <v>14</v>
      </c>
      <c r="C41" t="s">
        <v>27</v>
      </c>
      <c r="D41">
        <v>20210818</v>
      </c>
      <c r="E41">
        <v>2979.6</v>
      </c>
      <c r="F41">
        <f t="shared" ref="F41:F100" si="1">E41/3</f>
        <v>993.19999999999993</v>
      </c>
      <c r="G41">
        <v>2095.19447287615</v>
      </c>
    </row>
    <row r="42" spans="1:8" x14ac:dyDescent="0.25">
      <c r="A42" t="s">
        <v>28</v>
      </c>
      <c r="B42" t="s">
        <v>14</v>
      </c>
      <c r="C42" t="s">
        <v>29</v>
      </c>
      <c r="D42">
        <v>20210816</v>
      </c>
      <c r="E42">
        <v>3170.5</v>
      </c>
      <c r="F42">
        <f t="shared" si="1"/>
        <v>1056.8333333333333</v>
      </c>
      <c r="G42">
        <v>2311.1200644641399</v>
      </c>
    </row>
    <row r="43" spans="1:8" x14ac:dyDescent="0.25">
      <c r="A43" t="s">
        <v>33</v>
      </c>
      <c r="B43" t="s">
        <v>14</v>
      </c>
      <c r="C43" t="s">
        <v>34</v>
      </c>
      <c r="D43">
        <v>20210816</v>
      </c>
      <c r="E43">
        <v>3486.6</v>
      </c>
      <c r="F43">
        <f t="shared" si="1"/>
        <v>1162.2</v>
      </c>
      <c r="G43">
        <v>2418.31665685697</v>
      </c>
    </row>
    <row r="44" spans="1:8" x14ac:dyDescent="0.25">
      <c r="A44" t="s">
        <v>35</v>
      </c>
      <c r="B44" t="s">
        <v>14</v>
      </c>
      <c r="C44" t="s">
        <v>36</v>
      </c>
      <c r="D44">
        <v>20210818</v>
      </c>
      <c r="E44">
        <v>3028.5</v>
      </c>
      <c r="F44">
        <f t="shared" si="1"/>
        <v>1009.5</v>
      </c>
      <c r="G44">
        <v>2574.9060272196998</v>
      </c>
    </row>
    <row r="45" spans="1:8" x14ac:dyDescent="0.25">
      <c r="A45" t="s">
        <v>37</v>
      </c>
      <c r="B45" t="s">
        <v>14</v>
      </c>
      <c r="C45" t="s">
        <v>38</v>
      </c>
      <c r="D45">
        <v>20210818</v>
      </c>
      <c r="E45">
        <v>3177.4</v>
      </c>
      <c r="F45">
        <f t="shared" si="1"/>
        <v>1059.1333333333334</v>
      </c>
      <c r="G45">
        <v>2101.4147431124302</v>
      </c>
    </row>
    <row r="46" spans="1:8" x14ac:dyDescent="0.25">
      <c r="A46" t="s">
        <v>39</v>
      </c>
      <c r="B46" t="s">
        <v>14</v>
      </c>
      <c r="C46" t="s">
        <v>40</v>
      </c>
      <c r="D46">
        <v>20210816</v>
      </c>
      <c r="E46">
        <v>3646.4</v>
      </c>
      <c r="F46">
        <f t="shared" si="1"/>
        <v>1215.4666666666667</v>
      </c>
      <c r="G46">
        <v>2599.1672449687699</v>
      </c>
    </row>
    <row r="47" spans="1:8" x14ac:dyDescent="0.25">
      <c r="A47" t="s">
        <v>41</v>
      </c>
      <c r="B47" t="s">
        <v>14</v>
      </c>
      <c r="C47" t="s">
        <v>42</v>
      </c>
      <c r="D47">
        <v>20210816</v>
      </c>
      <c r="E47">
        <v>2988.8</v>
      </c>
      <c r="F47">
        <f t="shared" si="1"/>
        <v>996.26666666666677</v>
      </c>
      <c r="G47">
        <v>2318.7152777777801</v>
      </c>
    </row>
    <row r="48" spans="1:8" x14ac:dyDescent="0.25">
      <c r="A48" t="s">
        <v>45</v>
      </c>
      <c r="B48" t="s">
        <v>14</v>
      </c>
      <c r="C48" t="s">
        <v>25</v>
      </c>
      <c r="D48">
        <v>20210816</v>
      </c>
      <c r="E48">
        <v>3125.4</v>
      </c>
      <c r="F48">
        <f t="shared" si="1"/>
        <v>1041.8</v>
      </c>
      <c r="G48">
        <v>2300.8522727272698</v>
      </c>
    </row>
    <row r="49" spans="1:7" x14ac:dyDescent="0.25">
      <c r="A49" t="s">
        <v>46</v>
      </c>
      <c r="B49" t="s">
        <v>14</v>
      </c>
      <c r="C49" t="s">
        <v>47</v>
      </c>
      <c r="D49">
        <v>20210818</v>
      </c>
      <c r="E49">
        <v>3376.6</v>
      </c>
      <c r="F49">
        <f t="shared" si="1"/>
        <v>1125.5333333333333</v>
      </c>
      <c r="G49">
        <v>2366.4237203909202</v>
      </c>
    </row>
    <row r="50" spans="1:7" x14ac:dyDescent="0.25">
      <c r="A50" t="s">
        <v>48</v>
      </c>
      <c r="B50" t="s">
        <v>14</v>
      </c>
      <c r="C50" t="s">
        <v>49</v>
      </c>
      <c r="D50">
        <v>20210818</v>
      </c>
      <c r="E50">
        <v>3049.6</v>
      </c>
      <c r="F50">
        <f t="shared" si="1"/>
        <v>1016.5333333333333</v>
      </c>
      <c r="G50">
        <v>2147.5917278185502</v>
      </c>
    </row>
    <row r="51" spans="1:7" x14ac:dyDescent="0.25">
      <c r="A51" t="s">
        <v>50</v>
      </c>
      <c r="B51" t="s">
        <v>14</v>
      </c>
      <c r="C51" t="s">
        <v>40</v>
      </c>
      <c r="D51">
        <v>20210816</v>
      </c>
      <c r="E51">
        <v>3344.4</v>
      </c>
      <c r="F51">
        <f t="shared" si="1"/>
        <v>1114.8</v>
      </c>
      <c r="G51">
        <v>2468.1907250163299</v>
      </c>
    </row>
    <row r="52" spans="1:7" x14ac:dyDescent="0.25">
      <c r="A52" t="s">
        <v>51</v>
      </c>
      <c r="B52" t="s">
        <v>14</v>
      </c>
      <c r="C52" t="s">
        <v>27</v>
      </c>
      <c r="D52">
        <v>20210816</v>
      </c>
      <c r="E52">
        <v>2738.9</v>
      </c>
      <c r="F52">
        <f t="shared" si="1"/>
        <v>912.9666666666667</v>
      </c>
      <c r="G52">
        <v>2102.0270270270298</v>
      </c>
    </row>
    <row r="53" spans="1:7" x14ac:dyDescent="0.25">
      <c r="A53" t="s">
        <v>54</v>
      </c>
      <c r="B53" t="s">
        <v>14</v>
      </c>
      <c r="C53" t="s">
        <v>29</v>
      </c>
      <c r="D53">
        <v>20210816</v>
      </c>
      <c r="E53">
        <v>3003</v>
      </c>
      <c r="F53">
        <f t="shared" si="1"/>
        <v>1001</v>
      </c>
      <c r="G53">
        <v>2196.5865011636902</v>
      </c>
    </row>
    <row r="54" spans="1:7" x14ac:dyDescent="0.25">
      <c r="A54" t="s">
        <v>55</v>
      </c>
      <c r="B54" t="s">
        <v>14</v>
      </c>
      <c r="C54" t="s">
        <v>47</v>
      </c>
      <c r="D54">
        <v>20210818</v>
      </c>
      <c r="E54">
        <v>3287.1</v>
      </c>
      <c r="F54">
        <f t="shared" si="1"/>
        <v>1095.7</v>
      </c>
      <c r="G54">
        <v>2358.7858183584299</v>
      </c>
    </row>
    <row r="55" spans="1:7" x14ac:dyDescent="0.25">
      <c r="A55" t="s">
        <v>56</v>
      </c>
      <c r="B55" t="s">
        <v>14</v>
      </c>
      <c r="C55" t="s">
        <v>38</v>
      </c>
      <c r="D55">
        <v>20210816</v>
      </c>
      <c r="F55">
        <f t="shared" si="1"/>
        <v>0</v>
      </c>
      <c r="G55">
        <v>2363.5742743312499</v>
      </c>
    </row>
    <row r="56" spans="1:7" x14ac:dyDescent="0.25">
      <c r="A56" t="s">
        <v>57</v>
      </c>
      <c r="B56" t="s">
        <v>14</v>
      </c>
      <c r="C56" t="s">
        <v>25</v>
      </c>
      <c r="D56">
        <v>20210818</v>
      </c>
      <c r="E56">
        <v>3218.7</v>
      </c>
      <c r="F56">
        <f t="shared" si="1"/>
        <v>1072.8999999999999</v>
      </c>
      <c r="G56">
        <v>2392.8125</v>
      </c>
    </row>
    <row r="57" spans="1:7" x14ac:dyDescent="0.25">
      <c r="A57" t="s">
        <v>58</v>
      </c>
      <c r="B57" t="s">
        <v>14</v>
      </c>
      <c r="C57" t="s">
        <v>42</v>
      </c>
      <c r="D57">
        <v>20210816</v>
      </c>
      <c r="E57">
        <v>2939.4</v>
      </c>
      <c r="F57">
        <f t="shared" si="1"/>
        <v>979.80000000000007</v>
      </c>
      <c r="G57">
        <v>2472.8174603174598</v>
      </c>
    </row>
    <row r="58" spans="1:7" x14ac:dyDescent="0.25">
      <c r="A58" t="s">
        <v>61</v>
      </c>
      <c r="B58" t="s">
        <v>14</v>
      </c>
      <c r="C58" t="s">
        <v>36</v>
      </c>
      <c r="D58">
        <v>20210816</v>
      </c>
      <c r="E58">
        <v>3162.4</v>
      </c>
      <c r="F58">
        <f t="shared" si="1"/>
        <v>1054.1333333333334</v>
      </c>
      <c r="G58">
        <v>2402.3661971831002</v>
      </c>
    </row>
    <row r="59" spans="1:7" x14ac:dyDescent="0.25">
      <c r="A59" t="s">
        <v>62</v>
      </c>
      <c r="B59" t="s">
        <v>14</v>
      </c>
      <c r="C59" t="s">
        <v>49</v>
      </c>
      <c r="D59">
        <v>20210818</v>
      </c>
      <c r="E59">
        <v>3313.6</v>
      </c>
      <c r="F59">
        <f t="shared" si="1"/>
        <v>1104.5333333333333</v>
      </c>
      <c r="G59">
        <v>2516.6782006920398</v>
      </c>
    </row>
    <row r="60" spans="1:7" x14ac:dyDescent="0.25">
      <c r="A60" t="s">
        <v>63</v>
      </c>
      <c r="B60" t="s">
        <v>14</v>
      </c>
      <c r="C60" t="s">
        <v>34</v>
      </c>
      <c r="D60">
        <v>20210816</v>
      </c>
      <c r="E60">
        <v>3005.9</v>
      </c>
      <c r="F60">
        <f t="shared" si="1"/>
        <v>1001.9666666666667</v>
      </c>
      <c r="G60">
        <v>2042.8766375545899</v>
      </c>
    </row>
    <row r="61" spans="1:7" x14ac:dyDescent="0.25">
      <c r="A61" t="s">
        <v>64</v>
      </c>
      <c r="B61" t="s">
        <v>14</v>
      </c>
      <c r="C61" t="s">
        <v>42</v>
      </c>
      <c r="D61">
        <v>20210818</v>
      </c>
      <c r="E61">
        <v>3160</v>
      </c>
      <c r="F61">
        <f t="shared" si="1"/>
        <v>1053.3333333333333</v>
      </c>
      <c r="G61">
        <v>2362.9908256880699</v>
      </c>
    </row>
    <row r="62" spans="1:7" x14ac:dyDescent="0.25">
      <c r="A62" t="s">
        <v>65</v>
      </c>
      <c r="B62" t="s">
        <v>14</v>
      </c>
      <c r="C62" t="s">
        <v>34</v>
      </c>
      <c r="D62">
        <v>20210818</v>
      </c>
      <c r="E62">
        <v>2788.2</v>
      </c>
      <c r="F62">
        <f t="shared" si="1"/>
        <v>929.4</v>
      </c>
      <c r="G62">
        <v>2091.15095430885</v>
      </c>
    </row>
    <row r="63" spans="1:7" x14ac:dyDescent="0.25">
      <c r="A63" t="s">
        <v>68</v>
      </c>
      <c r="B63" t="s">
        <v>14</v>
      </c>
      <c r="C63" t="s">
        <v>27</v>
      </c>
      <c r="D63">
        <v>20210816</v>
      </c>
      <c r="E63">
        <v>3113.4</v>
      </c>
      <c r="F63">
        <f t="shared" si="1"/>
        <v>1037.8</v>
      </c>
      <c r="G63">
        <v>2106.6799204771401</v>
      </c>
    </row>
    <row r="64" spans="1:7" x14ac:dyDescent="0.25">
      <c r="A64" t="s">
        <v>69</v>
      </c>
      <c r="B64" t="s">
        <v>14</v>
      </c>
      <c r="C64" t="s">
        <v>47</v>
      </c>
      <c r="D64">
        <v>20210818</v>
      </c>
      <c r="E64">
        <v>3256.5</v>
      </c>
      <c r="F64">
        <f t="shared" si="1"/>
        <v>1085.5</v>
      </c>
      <c r="G64">
        <v>2611.5050167224099</v>
      </c>
    </row>
    <row r="65" spans="1:7" x14ac:dyDescent="0.25">
      <c r="A65" t="s">
        <v>70</v>
      </c>
      <c r="B65" t="s">
        <v>14</v>
      </c>
      <c r="C65" t="s">
        <v>40</v>
      </c>
      <c r="D65">
        <v>20210816</v>
      </c>
      <c r="E65">
        <v>3416</v>
      </c>
      <c r="F65">
        <f t="shared" si="1"/>
        <v>1138.6666666666667</v>
      </c>
      <c r="G65">
        <v>2085.7818181818202</v>
      </c>
    </row>
    <row r="66" spans="1:7" x14ac:dyDescent="0.25">
      <c r="A66" t="s">
        <v>71</v>
      </c>
      <c r="B66" t="s">
        <v>14</v>
      </c>
      <c r="C66" t="s">
        <v>49</v>
      </c>
      <c r="D66">
        <v>20210816</v>
      </c>
      <c r="E66">
        <v>3203.5</v>
      </c>
      <c r="F66">
        <f t="shared" si="1"/>
        <v>1067.8333333333333</v>
      </c>
      <c r="G66">
        <v>2337.54290171607</v>
      </c>
    </row>
    <row r="67" spans="1:7" x14ac:dyDescent="0.25">
      <c r="A67" t="s">
        <v>72</v>
      </c>
      <c r="B67" t="s">
        <v>14</v>
      </c>
      <c r="C67" t="s">
        <v>29</v>
      </c>
      <c r="D67">
        <v>20210818</v>
      </c>
      <c r="E67">
        <v>2921</v>
      </c>
      <c r="F67">
        <f t="shared" si="1"/>
        <v>973.66666666666663</v>
      </c>
      <c r="G67">
        <v>2316.9499657299498</v>
      </c>
    </row>
    <row r="68" spans="1:7" x14ac:dyDescent="0.25">
      <c r="A68" t="s">
        <v>77</v>
      </c>
      <c r="B68" t="s">
        <v>14</v>
      </c>
      <c r="C68" t="s">
        <v>38</v>
      </c>
      <c r="D68">
        <v>20210816</v>
      </c>
      <c r="E68">
        <v>3208.8</v>
      </c>
      <c r="F68">
        <f t="shared" si="1"/>
        <v>1069.6000000000001</v>
      </c>
      <c r="G68">
        <v>2298.69158878505</v>
      </c>
    </row>
    <row r="69" spans="1:7" x14ac:dyDescent="0.25">
      <c r="A69" t="s">
        <v>78</v>
      </c>
      <c r="B69" t="s">
        <v>14</v>
      </c>
      <c r="C69" t="s">
        <v>36</v>
      </c>
      <c r="D69">
        <v>20210818</v>
      </c>
      <c r="E69">
        <v>3152.1</v>
      </c>
      <c r="F69">
        <f t="shared" si="1"/>
        <v>1050.7</v>
      </c>
      <c r="G69">
        <v>2374.0243902439001</v>
      </c>
    </row>
    <row r="70" spans="1:7" x14ac:dyDescent="0.25">
      <c r="A70" t="s">
        <v>98</v>
      </c>
      <c r="B70" t="s">
        <v>89</v>
      </c>
      <c r="C70" t="s">
        <v>25</v>
      </c>
      <c r="D70">
        <v>20210816</v>
      </c>
      <c r="E70">
        <v>3691.8</v>
      </c>
      <c r="F70">
        <f t="shared" si="1"/>
        <v>1230.6000000000001</v>
      </c>
      <c r="G70">
        <v>2975.25464834276</v>
      </c>
    </row>
    <row r="71" spans="1:7" x14ac:dyDescent="0.25">
      <c r="A71" t="s">
        <v>99</v>
      </c>
      <c r="B71" t="s">
        <v>89</v>
      </c>
      <c r="C71" t="s">
        <v>49</v>
      </c>
      <c r="D71">
        <v>20210816</v>
      </c>
      <c r="E71">
        <v>3332.1</v>
      </c>
      <c r="F71">
        <f t="shared" si="1"/>
        <v>1110.7</v>
      </c>
      <c r="G71">
        <v>2947.8260869565202</v>
      </c>
    </row>
    <row r="72" spans="1:7" x14ac:dyDescent="0.25">
      <c r="A72" t="s">
        <v>100</v>
      </c>
      <c r="B72" t="s">
        <v>89</v>
      </c>
      <c r="C72" t="s">
        <v>27</v>
      </c>
      <c r="D72">
        <v>20210818</v>
      </c>
      <c r="E72">
        <v>2527</v>
      </c>
      <c r="F72">
        <f t="shared" si="1"/>
        <v>842.33333333333337</v>
      </c>
      <c r="G72">
        <v>2629.8489425981902</v>
      </c>
    </row>
    <row r="73" spans="1:7" x14ac:dyDescent="0.25">
      <c r="A73" t="s">
        <v>104</v>
      </c>
      <c r="B73" t="s">
        <v>89</v>
      </c>
      <c r="C73" t="s">
        <v>29</v>
      </c>
      <c r="D73">
        <v>20210816</v>
      </c>
      <c r="E73">
        <v>2906.3</v>
      </c>
      <c r="F73">
        <f t="shared" si="1"/>
        <v>968.76666666666677</v>
      </c>
      <c r="G73">
        <v>2980.3520649966199</v>
      </c>
    </row>
    <row r="74" spans="1:7" x14ac:dyDescent="0.25">
      <c r="A74" t="s">
        <v>105</v>
      </c>
      <c r="B74" t="s">
        <v>89</v>
      </c>
      <c r="C74" t="s">
        <v>38</v>
      </c>
      <c r="D74">
        <v>20210818</v>
      </c>
      <c r="E74">
        <v>3727.5</v>
      </c>
      <c r="F74">
        <f t="shared" si="1"/>
        <v>1242.5</v>
      </c>
      <c r="G74">
        <v>3082.16624685139</v>
      </c>
    </row>
    <row r="75" spans="1:7" x14ac:dyDescent="0.25">
      <c r="A75" t="s">
        <v>106</v>
      </c>
      <c r="B75" t="s">
        <v>89</v>
      </c>
      <c r="C75" t="s">
        <v>36</v>
      </c>
      <c r="D75">
        <v>20210816</v>
      </c>
      <c r="E75">
        <v>3206.3</v>
      </c>
      <c r="F75">
        <f t="shared" si="1"/>
        <v>1068.7666666666667</v>
      </c>
      <c r="G75">
        <v>2982.6546091015198</v>
      </c>
    </row>
    <row r="76" spans="1:7" x14ac:dyDescent="0.25">
      <c r="A76" t="s">
        <v>107</v>
      </c>
      <c r="B76" t="s">
        <v>89</v>
      </c>
      <c r="C76" t="s">
        <v>40</v>
      </c>
      <c r="D76">
        <v>20210816</v>
      </c>
      <c r="E76">
        <v>3333.3</v>
      </c>
      <c r="F76">
        <f t="shared" si="1"/>
        <v>1111.1000000000001</v>
      </c>
      <c r="G76">
        <v>2761.8611746758202</v>
      </c>
    </row>
    <row r="77" spans="1:7" x14ac:dyDescent="0.25">
      <c r="A77" t="s">
        <v>108</v>
      </c>
      <c r="B77" t="s">
        <v>89</v>
      </c>
      <c r="C77" t="s">
        <v>47</v>
      </c>
      <c r="D77">
        <v>20210816</v>
      </c>
      <c r="E77">
        <v>3353.6</v>
      </c>
      <c r="F77">
        <f t="shared" si="1"/>
        <v>1117.8666666666666</v>
      </c>
      <c r="G77">
        <v>3021.3582166925898</v>
      </c>
    </row>
    <row r="78" spans="1:7" x14ac:dyDescent="0.25">
      <c r="A78" t="s">
        <v>111</v>
      </c>
      <c r="B78" t="s">
        <v>89</v>
      </c>
      <c r="C78" t="s">
        <v>34</v>
      </c>
      <c r="D78">
        <v>20210818</v>
      </c>
      <c r="E78">
        <v>3894.1</v>
      </c>
      <c r="F78">
        <f t="shared" si="1"/>
        <v>1298.0333333333333</v>
      </c>
      <c r="G78">
        <v>2761.5652173912999</v>
      </c>
    </row>
    <row r="79" spans="1:7" x14ac:dyDescent="0.25">
      <c r="A79" t="s">
        <v>112</v>
      </c>
      <c r="B79" t="s">
        <v>89</v>
      </c>
      <c r="C79" t="s">
        <v>25</v>
      </c>
      <c r="D79">
        <v>20210816</v>
      </c>
      <c r="E79">
        <v>3654.3</v>
      </c>
      <c r="F79">
        <f t="shared" si="1"/>
        <v>1218.1000000000001</v>
      </c>
      <c r="G79">
        <v>3150</v>
      </c>
    </row>
    <row r="80" spans="1:7" x14ac:dyDescent="0.25">
      <c r="A80" t="s">
        <v>113</v>
      </c>
      <c r="B80" t="s">
        <v>89</v>
      </c>
      <c r="C80" t="s">
        <v>42</v>
      </c>
      <c r="D80">
        <v>20210816</v>
      </c>
      <c r="E80">
        <v>3188.8</v>
      </c>
      <c r="F80">
        <f t="shared" si="1"/>
        <v>1062.9333333333334</v>
      </c>
      <c r="G80">
        <v>2954.7887323943701</v>
      </c>
    </row>
    <row r="81" spans="1:7" x14ac:dyDescent="0.25">
      <c r="A81" t="s">
        <v>114</v>
      </c>
      <c r="B81" t="s">
        <v>89</v>
      </c>
      <c r="C81" t="s">
        <v>29</v>
      </c>
      <c r="D81">
        <v>20210816</v>
      </c>
      <c r="E81">
        <v>3000.9</v>
      </c>
      <c r="F81">
        <f t="shared" si="1"/>
        <v>1000.3000000000001</v>
      </c>
      <c r="G81">
        <v>2360.73446327684</v>
      </c>
    </row>
    <row r="82" spans="1:7" x14ac:dyDescent="0.25">
      <c r="A82" t="s">
        <v>115</v>
      </c>
      <c r="B82" t="s">
        <v>89</v>
      </c>
      <c r="C82" t="s">
        <v>49</v>
      </c>
      <c r="D82">
        <v>20210816</v>
      </c>
      <c r="E82">
        <v>3354.4</v>
      </c>
      <c r="F82">
        <f t="shared" si="1"/>
        <v>1118.1333333333334</v>
      </c>
      <c r="G82">
        <v>2312.29876722262</v>
      </c>
    </row>
    <row r="83" spans="1:7" x14ac:dyDescent="0.25">
      <c r="A83" t="s">
        <v>118</v>
      </c>
      <c r="B83" t="s">
        <v>89</v>
      </c>
      <c r="C83" t="s">
        <v>34</v>
      </c>
      <c r="D83">
        <v>20210818</v>
      </c>
      <c r="E83">
        <v>3758.3</v>
      </c>
      <c r="F83">
        <f t="shared" si="1"/>
        <v>1252.7666666666667</v>
      </c>
      <c r="G83">
        <v>2317.8114086146702</v>
      </c>
    </row>
    <row r="84" spans="1:7" x14ac:dyDescent="0.25">
      <c r="A84" t="s">
        <v>119</v>
      </c>
      <c r="B84" t="s">
        <v>89</v>
      </c>
      <c r="C84" t="s">
        <v>38</v>
      </c>
      <c r="D84">
        <v>20210816</v>
      </c>
      <c r="E84">
        <v>3424.5</v>
      </c>
      <c r="F84">
        <f t="shared" si="1"/>
        <v>1141.5</v>
      </c>
      <c r="G84">
        <v>2820.3345070422502</v>
      </c>
    </row>
    <row r="85" spans="1:7" x14ac:dyDescent="0.25">
      <c r="A85" t="s">
        <v>120</v>
      </c>
      <c r="B85" t="s">
        <v>89</v>
      </c>
      <c r="C85" t="s">
        <v>42</v>
      </c>
      <c r="D85">
        <v>20210816</v>
      </c>
      <c r="E85">
        <v>2701.3</v>
      </c>
      <c r="F85">
        <f t="shared" si="1"/>
        <v>900.43333333333339</v>
      </c>
      <c r="G85">
        <v>2388.9570552147202</v>
      </c>
    </row>
    <row r="86" spans="1:7" x14ac:dyDescent="0.25">
      <c r="A86" t="s">
        <v>121</v>
      </c>
      <c r="B86" t="s">
        <v>89</v>
      </c>
      <c r="C86" t="s">
        <v>36</v>
      </c>
      <c r="D86">
        <v>20210816</v>
      </c>
      <c r="E86">
        <v>3394.1</v>
      </c>
      <c r="F86">
        <f t="shared" si="1"/>
        <v>1131.3666666666666</v>
      </c>
      <c r="G86">
        <v>1836.2082262210799</v>
      </c>
    </row>
    <row r="87" spans="1:7" x14ac:dyDescent="0.25">
      <c r="A87" t="s">
        <v>122</v>
      </c>
      <c r="B87" t="s">
        <v>89</v>
      </c>
      <c r="C87" t="s">
        <v>25</v>
      </c>
      <c r="D87">
        <v>20210816</v>
      </c>
      <c r="E87">
        <v>3396.5</v>
      </c>
      <c r="F87">
        <f t="shared" si="1"/>
        <v>1132.1666666666667</v>
      </c>
      <c r="G87">
        <v>2823.2826747720401</v>
      </c>
    </row>
    <row r="88" spans="1:7" x14ac:dyDescent="0.25">
      <c r="A88" t="s">
        <v>125</v>
      </c>
      <c r="B88" t="s">
        <v>89</v>
      </c>
      <c r="C88" t="s">
        <v>27</v>
      </c>
      <c r="D88">
        <v>20210816</v>
      </c>
      <c r="E88">
        <v>3544.9</v>
      </c>
      <c r="F88">
        <f t="shared" si="1"/>
        <v>1181.6333333333334</v>
      </c>
      <c r="G88">
        <v>3099.61722488038</v>
      </c>
    </row>
    <row r="89" spans="1:7" x14ac:dyDescent="0.25">
      <c r="A89" t="s">
        <v>126</v>
      </c>
      <c r="B89" t="s">
        <v>89</v>
      </c>
      <c r="C89" t="s">
        <v>47</v>
      </c>
      <c r="D89">
        <v>20210816</v>
      </c>
      <c r="E89">
        <v>3482.6</v>
      </c>
      <c r="F89">
        <f t="shared" si="1"/>
        <v>1160.8666666666666</v>
      </c>
      <c r="G89">
        <v>2998.3106796116499</v>
      </c>
    </row>
    <row r="90" spans="1:7" x14ac:dyDescent="0.25">
      <c r="A90" t="s">
        <v>127</v>
      </c>
      <c r="B90" t="s">
        <v>89</v>
      </c>
      <c r="C90" t="s">
        <v>40</v>
      </c>
      <c r="D90">
        <v>20210816</v>
      </c>
      <c r="E90">
        <v>3423.3</v>
      </c>
      <c r="F90">
        <f t="shared" si="1"/>
        <v>1141.1000000000001</v>
      </c>
      <c r="G90">
        <v>2866.95652173913</v>
      </c>
    </row>
    <row r="91" spans="1:7" x14ac:dyDescent="0.25">
      <c r="A91" t="s">
        <v>128</v>
      </c>
      <c r="B91" t="s">
        <v>89</v>
      </c>
      <c r="C91" t="s">
        <v>34</v>
      </c>
      <c r="D91">
        <v>20210816</v>
      </c>
      <c r="E91">
        <v>3554.1</v>
      </c>
      <c r="F91">
        <f t="shared" si="1"/>
        <v>1184.7</v>
      </c>
      <c r="G91">
        <v>2706.3025830258298</v>
      </c>
    </row>
    <row r="92" spans="1:7" x14ac:dyDescent="0.25">
      <c r="A92" t="s">
        <v>129</v>
      </c>
      <c r="B92" t="s">
        <v>89</v>
      </c>
      <c r="C92" t="s">
        <v>36</v>
      </c>
      <c r="D92">
        <v>20210818</v>
      </c>
      <c r="F92">
        <f t="shared" si="1"/>
        <v>0</v>
      </c>
      <c r="G92">
        <v>941.35135135135101</v>
      </c>
    </row>
    <row r="93" spans="1:7" x14ac:dyDescent="0.25">
      <c r="A93" t="s">
        <v>132</v>
      </c>
      <c r="B93" t="s">
        <v>89</v>
      </c>
      <c r="C93" t="s">
        <v>40</v>
      </c>
      <c r="D93">
        <v>20210816</v>
      </c>
      <c r="E93">
        <v>3395</v>
      </c>
      <c r="F93">
        <f t="shared" si="1"/>
        <v>1131.6666666666667</v>
      </c>
      <c r="G93">
        <v>3201.22549019608</v>
      </c>
    </row>
    <row r="94" spans="1:7" x14ac:dyDescent="0.25">
      <c r="A94" t="s">
        <v>133</v>
      </c>
      <c r="B94" t="s">
        <v>89</v>
      </c>
      <c r="C94" t="s">
        <v>25</v>
      </c>
      <c r="D94">
        <v>20210818</v>
      </c>
      <c r="E94">
        <v>3571.7</v>
      </c>
      <c r="F94">
        <f t="shared" si="1"/>
        <v>1190.5666666666666</v>
      </c>
      <c r="G94">
        <v>2974.9473684210502</v>
      </c>
    </row>
    <row r="95" spans="1:7" x14ac:dyDescent="0.25">
      <c r="A95" t="s">
        <v>134</v>
      </c>
      <c r="B95" t="s">
        <v>89</v>
      </c>
      <c r="C95" t="s">
        <v>29</v>
      </c>
      <c r="D95">
        <v>20210816</v>
      </c>
      <c r="E95">
        <v>3208.7</v>
      </c>
      <c r="F95">
        <f t="shared" si="1"/>
        <v>1069.5666666666666</v>
      </c>
      <c r="G95">
        <v>2593.24624428478</v>
      </c>
    </row>
    <row r="96" spans="1:7" x14ac:dyDescent="0.25">
      <c r="A96" t="s">
        <v>135</v>
      </c>
      <c r="B96" t="s">
        <v>89</v>
      </c>
      <c r="C96" t="s">
        <v>27</v>
      </c>
      <c r="D96">
        <v>20210816</v>
      </c>
      <c r="E96">
        <v>3311</v>
      </c>
      <c r="F96">
        <f t="shared" si="1"/>
        <v>1103.6666666666667</v>
      </c>
      <c r="G96">
        <v>2648.2863849765299</v>
      </c>
    </row>
    <row r="97" spans="1:7" x14ac:dyDescent="0.25">
      <c r="A97" t="s">
        <v>136</v>
      </c>
      <c r="B97" t="s">
        <v>89</v>
      </c>
      <c r="C97" t="s">
        <v>42</v>
      </c>
      <c r="D97">
        <v>20210816</v>
      </c>
      <c r="E97">
        <v>3718</v>
      </c>
      <c r="F97">
        <f t="shared" si="1"/>
        <v>1239.3333333333333</v>
      </c>
      <c r="G97">
        <v>3089.5641344956398</v>
      </c>
    </row>
    <row r="98" spans="1:7" x14ac:dyDescent="0.25">
      <c r="A98" t="s">
        <v>140</v>
      </c>
      <c r="B98" t="s">
        <v>89</v>
      </c>
      <c r="C98" t="s">
        <v>47</v>
      </c>
      <c r="D98">
        <v>20210816</v>
      </c>
      <c r="E98">
        <v>3751.4</v>
      </c>
      <c r="F98">
        <f t="shared" si="1"/>
        <v>1250.4666666666667</v>
      </c>
      <c r="G98">
        <v>2667.7285318559598</v>
      </c>
    </row>
    <row r="99" spans="1:7" x14ac:dyDescent="0.25">
      <c r="A99" t="s">
        <v>141</v>
      </c>
      <c r="B99" t="s">
        <v>89</v>
      </c>
      <c r="C99" t="s">
        <v>49</v>
      </c>
      <c r="D99">
        <v>20210816</v>
      </c>
      <c r="E99">
        <v>3453.4</v>
      </c>
      <c r="F99">
        <f t="shared" si="1"/>
        <v>1151.1333333333334</v>
      </c>
      <c r="G99">
        <v>3089.0335846470198</v>
      </c>
    </row>
    <row r="100" spans="1:7" x14ac:dyDescent="0.25">
      <c r="A100" t="s">
        <v>142</v>
      </c>
      <c r="B100" t="s">
        <v>89</v>
      </c>
      <c r="C100" t="s">
        <v>38</v>
      </c>
      <c r="D100">
        <v>20210816</v>
      </c>
      <c r="E100">
        <v>3537.5</v>
      </c>
      <c r="F100">
        <f t="shared" si="1"/>
        <v>1179.1666666666667</v>
      </c>
      <c r="G100">
        <v>2642.5285810356399</v>
      </c>
    </row>
  </sheetData>
  <sortState ref="A24:B34">
    <sortCondition ref="B24:B3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Sheet 1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o.knopf</dc:creator>
  <cp:lastModifiedBy>Oliver Knopf</cp:lastModifiedBy>
  <dcterms:created xsi:type="dcterms:W3CDTF">2021-10-30T13:58:31Z</dcterms:created>
  <dcterms:modified xsi:type="dcterms:W3CDTF">2022-05-19T14:09:36Z</dcterms:modified>
</cp:coreProperties>
</file>